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tc={d2d17f85-bfa6-45b8-b6b9-9917194f539c}</author>
  </authors>
  <commentList>
    <comment authorId="0" xr:uid="{d2d17f85-bfa6-45b8-b6b9-9917194f539c}" ref="J1">
      <text>
        <t xml:space="preserve">[Threaded comment]
 Your version of Excel allows you to read this threaded comment; however, any edits to it will get removed if the file is opened in a newer version of Excel. Learn more: https://go.microsoft.com/fwlink/?linkid=870924
Comment:
	EJEMPLOS:
*no anda el tel
*no anda el mail
*no es interesante
*charlando/potable
*bueno
*cotizamos
*cliente
</t>
      </text>
    </comment>
  </commentList>
</comments>
</file>

<file path=xl/sharedStrings.xml><?xml version="1.0" encoding="utf-8"?>
<sst xmlns="http://schemas.openxmlformats.org/spreadsheetml/2006/main" count="11997" uniqueCount="3057">
  <si>
    <t>Fecha</t>
  </si>
  <si>
    <t>Nombre</t>
  </si>
  <si>
    <t>Telefono</t>
  </si>
  <si>
    <t>Mail</t>
  </si>
  <si>
    <t>¿Qué tipo de negocio tenés?</t>
  </si>
  <si>
    <t>Selecciona tu volumen de compra</t>
  </si>
  <si>
    <t>¿Por cuál categoría estár más interesado?</t>
  </si>
  <si>
    <t>¿Hace cuantos años estas en el mercado?</t>
  </si>
  <si>
    <t>¿En qué producto estabas interesado?</t>
  </si>
  <si>
    <t>Feedback UNPO</t>
  </si>
  <si>
    <t>Campaña</t>
  </si>
  <si>
    <t>Conjunto</t>
  </si>
  <si>
    <t>Anuncio</t>
  </si>
  <si>
    <t>Plataforma</t>
  </si>
  <si>
    <t>Martha Velasquez</t>
  </si>
  <si>
    <t>marthavelasquez1222@gmail.com</t>
  </si>
  <si>
    <t>Local físico de bazar</t>
  </si>
  <si>
    <t>$500.000 – $1.500.000</t>
  </si>
  <si>
    <t>Decoración / hogar</t>
  </si>
  <si>
    <t>Sabri</t>
  </si>
  <si>
    <t>sabri.trinchero@gmail.com</t>
  </si>
  <si>
    <t>Menos de $500.000</t>
  </si>
  <si>
    <t xml:space="preserve">Luciano Bascur
</t>
  </si>
  <si>
    <t>lbascur94@gmail.com</t>
  </si>
  <si>
    <t>Tienda online / Ecommerce</t>
  </si>
  <si>
    <t>Mix completo</t>
  </si>
  <si>
    <t xml:space="preserve">Gallego Juan
</t>
  </si>
  <si>
    <t>diegojred@gmail.com</t>
  </si>
  <si>
    <t xml:space="preserve">Marcelo Fiel Martínez
</t>
  </si>
  <si>
    <t>marceloestebanfielmartinez@outlook.com.ar</t>
  </si>
  <si>
    <t xml:space="preserve">Jorge Omar Padilla
</t>
  </si>
  <si>
    <t>Jorgeomar1961@gmail.com</t>
  </si>
  <si>
    <t>Más de $1.500.000</t>
  </si>
  <si>
    <t xml:space="preserve">Jorge Bertolotti
</t>
  </si>
  <si>
    <t>jbertolotti1@gmail.com</t>
  </si>
  <si>
    <t xml:space="preserve">Pedro Ranieri
</t>
  </si>
  <si>
    <t>peranieri@yahoo.com.ar</t>
  </si>
  <si>
    <t xml:space="preserve">Faustina Liu
</t>
  </si>
  <si>
    <t>faustiliu@gmail.com</t>
  </si>
  <si>
    <t>Otro</t>
  </si>
  <si>
    <t>sandra</t>
  </si>
  <si>
    <t>patriciopintor@yahoo.com</t>
  </si>
  <si>
    <t xml:space="preserve">Ezequiel Senestrari
</t>
  </si>
  <si>
    <t>ezequielsenestrari@gmail.com</t>
  </si>
  <si>
    <t xml:space="preserve">Jimena El Bitar
</t>
  </si>
  <si>
    <t>jimenaelbitar1@gmail.com</t>
  </si>
  <si>
    <t xml:space="preserve">Victor Shen
</t>
  </si>
  <si>
    <t>Antonymary1731@gmail.com</t>
  </si>
  <si>
    <t xml:space="preserve">Shanny Shanny
</t>
  </si>
  <si>
    <t>yaninaovejero1990@gmail.com</t>
  </si>
  <si>
    <t xml:space="preserve">Lucas Morales
</t>
  </si>
  <si>
    <t>ldm_lucas@hotmail.com</t>
  </si>
  <si>
    <t>𝐼𝓇𝒾𝓈</t>
  </si>
  <si>
    <t>lea_irene28@outlook.es</t>
  </si>
  <si>
    <t xml:space="preserve">Alicia Ferreiro
</t>
  </si>
  <si>
    <t>mourelo.af@gmail.com</t>
  </si>
  <si>
    <t xml:space="preserve">Nancy Remza
</t>
  </si>
  <si>
    <t>profenr@gmail.com</t>
  </si>
  <si>
    <t>Artículos de cocina</t>
  </si>
  <si>
    <t xml:space="preserve">Darío Lozada
</t>
  </si>
  <si>
    <t>dflozada@hotmail.com</t>
  </si>
  <si>
    <t xml:space="preserve">Veronica Rosales
</t>
  </si>
  <si>
    <t>roni_2410@hotmail.com</t>
  </si>
  <si>
    <t>nath</t>
  </si>
  <si>
    <t>natali.oliveri432@gmail.com</t>
  </si>
  <si>
    <t xml:space="preserve">Miriam Andrea Molina
</t>
  </si>
  <si>
    <t>andreatodoarte@hotmail.com</t>
  </si>
  <si>
    <t>Simón</t>
  </si>
  <si>
    <t>simonleporerodi0@gmail.com</t>
  </si>
  <si>
    <t xml:space="preserve">Raul Moreno
</t>
  </si>
  <si>
    <t>javierraulmoreno@gmail.com</t>
  </si>
  <si>
    <t xml:space="preserve">Oscar Ramallo
</t>
  </si>
  <si>
    <t>oscaralexis1989@gmail.com</t>
  </si>
  <si>
    <t xml:space="preserve">Guadalupe Fernandez Valdes
</t>
  </si>
  <si>
    <t>guada.fv22@gmail.com</t>
  </si>
  <si>
    <t xml:space="preserve">Elena Maricel
</t>
  </si>
  <si>
    <t>emaricel@live.com</t>
  </si>
  <si>
    <t xml:space="preserve">Marce Candia
</t>
  </si>
  <si>
    <t>marcecandia69@gmail.com</t>
  </si>
  <si>
    <t xml:space="preserve">Juan Pablo Nina
</t>
  </si>
  <si>
    <t>ninajuanpablo0045@gmail.com</t>
  </si>
  <si>
    <t xml:space="preserve">Josefina Avellaneda
</t>
  </si>
  <si>
    <t>avellajoaquin@hotmail.com</t>
  </si>
  <si>
    <t xml:space="preserve">Soledad Pesqueira
</t>
  </si>
  <si>
    <t>solecancun@gmail.com</t>
  </si>
  <si>
    <t xml:space="preserve">Magaa Favris
</t>
  </si>
  <si>
    <t>maga.fa.96@gmail.com</t>
  </si>
  <si>
    <t>sil</t>
  </si>
  <si>
    <t>ferreyra_faem@hotmail.com</t>
  </si>
  <si>
    <t xml:space="preserve">DINO RAMPINI |
</t>
  </si>
  <si>
    <t>dinorampini@gmail.com</t>
  </si>
  <si>
    <t xml:space="preserve">Maria Arrascaete
</t>
  </si>
  <si>
    <t>mariaarrascaete@gmail.com</t>
  </si>
  <si>
    <t xml:space="preserve">Lucas Ferrario
</t>
  </si>
  <si>
    <t>lukferrario@hotmail.com</t>
  </si>
  <si>
    <t xml:space="preserve">Gaston Migueles
</t>
  </si>
  <si>
    <t>gastonmigueles3@gmail.com</t>
  </si>
  <si>
    <t xml:space="preserve">Agostina Favalli
</t>
  </si>
  <si>
    <t>agos_slm@hotmail.com</t>
  </si>
  <si>
    <t xml:space="preserve">Brenda López
</t>
  </si>
  <si>
    <t>horaciocerpa7@gmail.com</t>
  </si>
  <si>
    <t xml:space="preserve">Sol Sosa
</t>
  </si>
  <si>
    <t>solat588@gmail.com</t>
  </si>
  <si>
    <t xml:space="preserve">POLIMIX
</t>
  </si>
  <si>
    <t>melina.rodriguez.galeano@gmail.com</t>
  </si>
  <si>
    <t xml:space="preserve">Andrea Thiago Gimenez
</t>
  </si>
  <si>
    <t>Andreathiago675@gmail.com</t>
  </si>
  <si>
    <t xml:space="preserve">Vivero Ohana
</t>
  </si>
  <si>
    <t>belenlizardofma@outlook.com</t>
  </si>
  <si>
    <t>Fran</t>
  </si>
  <si>
    <t>francolj510@gmail.com</t>
  </si>
  <si>
    <t xml:space="preserve">Lucas Rodríguez Villafañe
</t>
  </si>
  <si>
    <t>consultasluqitec@gmail.com</t>
  </si>
  <si>
    <t xml:space="preserve">Norma Blazquez
</t>
  </si>
  <si>
    <t>smarzzan_cba@hotmail.com</t>
  </si>
  <si>
    <t xml:space="preserve">Carlos Osler
</t>
  </si>
  <si>
    <t>oslercarlos@hotmail.com</t>
  </si>
  <si>
    <t xml:space="preserve">Oscar Omar Medero
</t>
  </si>
  <si>
    <t>oscar.medero@gmail.com</t>
  </si>
  <si>
    <t xml:space="preserve">Claterapeuta
</t>
  </si>
  <si>
    <t>velvet.contrataciones@gmail.com</t>
  </si>
  <si>
    <t>Rikana</t>
  </si>
  <si>
    <t>karinaleandra@hotmail.com</t>
  </si>
  <si>
    <t xml:space="preserve">micaela buchhammer
</t>
  </si>
  <si>
    <t>gracielabarreto04@gmail.com</t>
  </si>
  <si>
    <t xml:space="preserve">ѕαитι мαgℓισ
</t>
  </si>
  <si>
    <t>santiagomaglio1@hotmail.com</t>
  </si>
  <si>
    <t xml:space="preserve">Mati Romero
</t>
  </si>
  <si>
    <t>thianr85@gmail.com</t>
  </si>
  <si>
    <t xml:space="preserve">andres argañaraz
</t>
  </si>
  <si>
    <t>andresfedericoulises@live.com.ar</t>
  </si>
  <si>
    <t xml:space="preserve">Pandora Popurri
</t>
  </si>
  <si>
    <t>pandorapopurri@gmail.com</t>
  </si>
  <si>
    <t xml:space="preserve">OMAR CHAVEZ
</t>
  </si>
  <si>
    <t>geolatina4@gmail.com</t>
  </si>
  <si>
    <t xml:space="preserve">Anibal Alexander vigamonte via
</t>
  </si>
  <si>
    <t>anibalalexander1478@gmail.com</t>
  </si>
  <si>
    <t xml:space="preserve">Aldo Melo
</t>
  </si>
  <si>
    <t>simonsigfrido4@gmail.com</t>
  </si>
  <si>
    <t xml:space="preserve">Gladys Ortiz
</t>
  </si>
  <si>
    <t>Ghla914@gmail.com</t>
  </si>
  <si>
    <t xml:space="preserve">Yemy Sol
</t>
  </si>
  <si>
    <t>yemysoldv25@gmail.com</t>
  </si>
  <si>
    <t xml:space="preserve">Florencia rocha
</t>
  </si>
  <si>
    <t>rochaflorencia27@gmail.com</t>
  </si>
  <si>
    <t xml:space="preserve">Rosana Seco Aguirre
</t>
  </si>
  <si>
    <t>rosanaaguirreseco@gmai.com</t>
  </si>
  <si>
    <t xml:space="preserve">Lorena Elisabet Reynoso
</t>
  </si>
  <si>
    <t>reynosolore1183@gmail.com</t>
  </si>
  <si>
    <t>walter</t>
  </si>
  <si>
    <t>taniaybauti@hotmail.com</t>
  </si>
  <si>
    <t xml:space="preserve">Jorgiitoo Roldan
</t>
  </si>
  <si>
    <t>jorgitoroldan69@gmail.com</t>
  </si>
  <si>
    <t xml:space="preserve">German Barceló
</t>
  </si>
  <si>
    <t>gv531900@gmail.com</t>
  </si>
  <si>
    <t xml:space="preserve">Franco Devalle
</t>
  </si>
  <si>
    <t>fdevalle13@gmail.com</t>
  </si>
  <si>
    <t xml:space="preserve">Êvanah de luz
</t>
  </si>
  <si>
    <t>gisela_pao22@hotmail.com.ar</t>
  </si>
  <si>
    <t xml:space="preserve">Ivan Müller
</t>
  </si>
  <si>
    <t>ivanezequilmuller@gmail.com</t>
  </si>
  <si>
    <t xml:space="preserve">Gaby Pallotti
</t>
  </si>
  <si>
    <t>gabypallotti@hotmail.com</t>
  </si>
  <si>
    <t xml:space="preserve">Romina Ortiz
</t>
  </si>
  <si>
    <t>Romi19@hot.mail.com</t>
  </si>
  <si>
    <t xml:space="preserve">Karina Jimenes
</t>
  </si>
  <si>
    <t>karina-jimenes@hotmail.com</t>
  </si>
  <si>
    <t xml:space="preserve">Lore Politino
</t>
  </si>
  <si>
    <t>lolopolitino@hotmail.com</t>
  </si>
  <si>
    <t xml:space="preserve">Analia Fernandez
</t>
  </si>
  <si>
    <t>analiafernandezmaio@hotmail.com.ar</t>
  </si>
  <si>
    <t xml:space="preserve">Ivonne C. Flores
</t>
  </si>
  <si>
    <t>lafresita_61@hotmail.com</t>
  </si>
  <si>
    <t xml:space="preserve">Graciela Marta Benitez
</t>
  </si>
  <si>
    <t>gra.beni53@yahoo.com.ar</t>
  </si>
  <si>
    <t>GG</t>
  </si>
  <si>
    <t>gabrielagareta@gmail.com</t>
  </si>
  <si>
    <t xml:space="preserve">Julieta Chechi
</t>
  </si>
  <si>
    <t xml:space="preserve">chechijulieta@gmail.com
</t>
  </si>
  <si>
    <t xml:space="preserve">Itati Colucci
</t>
  </si>
  <si>
    <t>coluccisabrina244@gmail.com</t>
  </si>
  <si>
    <t xml:space="preserve">Daiana Cardeno
</t>
  </si>
  <si>
    <t>cardenodaiana34@gmail.com</t>
  </si>
  <si>
    <t xml:space="preserve">Agustin Leguizamon
</t>
  </si>
  <si>
    <t>leguizamon294884@gmail.com</t>
  </si>
  <si>
    <t xml:space="preserve">axel diaz
</t>
  </si>
  <si>
    <t>axeldaxel625@gmail.com</t>
  </si>
  <si>
    <t xml:space="preserve">Ana Medina
</t>
  </si>
  <si>
    <t xml:space="preserve">caianam@hotmail.com
</t>
  </si>
  <si>
    <t xml:space="preserve">El Pai
</t>
  </si>
  <si>
    <t xml:space="preserve">francocenteno_gsm@hotmail.com
</t>
  </si>
  <si>
    <t xml:space="preserve">Vale Fernandes
</t>
  </si>
  <si>
    <t>fernandesvaleria445@gmail.com</t>
  </si>
  <si>
    <t xml:space="preserve">Sebas Talavera
</t>
  </si>
  <si>
    <t>sebi_96@hotmail.com</t>
  </si>
  <si>
    <t xml:space="preserve">Claudia Zima
</t>
  </si>
  <si>
    <t>claudiaezima@gmail.com</t>
  </si>
  <si>
    <t>marina</t>
  </si>
  <si>
    <t xml:space="preserve">marinaanuncibay@yahoo.com.ar
</t>
  </si>
  <si>
    <t xml:space="preserve">Luciana Finello
</t>
  </si>
  <si>
    <t xml:space="preserve">aortolano@hotmail.com
</t>
  </si>
  <si>
    <t xml:space="preserve">LAS9LUNASMISTICAS
</t>
  </si>
  <si>
    <t xml:space="preserve">las9lunasmisticas@hotmail.com
</t>
  </si>
  <si>
    <t xml:space="preserve">Solange Palomeque
</t>
  </si>
  <si>
    <t>sol.palomeque@hotmail.com</t>
  </si>
  <si>
    <t xml:space="preserve">Maria Fernanda Martinez
</t>
  </si>
  <si>
    <t xml:space="preserve">martinezmafer1979@gmail.com
</t>
  </si>
  <si>
    <t xml:space="preserve">Mariel Diab
</t>
  </si>
  <si>
    <t xml:space="preserve">marieldiab857@hotmail.com
</t>
  </si>
  <si>
    <t xml:space="preserve">david paez
</t>
  </si>
  <si>
    <t xml:space="preserve">paezdavid89@gmail.com
</t>
  </si>
  <si>
    <t xml:space="preserve">Fabiana Chavez
</t>
  </si>
  <si>
    <t xml:space="preserve">fabychavez13@hotmail.com
</t>
  </si>
  <si>
    <t xml:space="preserve">Pao Toth
</t>
  </si>
  <si>
    <t xml:space="preserve">paolarosariototh@gmail.com
</t>
  </si>
  <si>
    <t xml:space="preserve">Valeria Ramirez
</t>
  </si>
  <si>
    <t xml:space="preserve">valentinasoledadramirez@gmail.com
</t>
  </si>
  <si>
    <t xml:space="preserve">Geraldine Ferraro
</t>
  </si>
  <si>
    <t xml:space="preserve">geriferraro93@gmail.com
</t>
  </si>
  <si>
    <t xml:space="preserve">shaira Milagros Garay
</t>
  </si>
  <si>
    <t xml:space="preserve">shairagaray100@gmail.com
</t>
  </si>
  <si>
    <t xml:space="preserve">Marroquineria Saya
</t>
  </si>
  <si>
    <t xml:space="preserve">sayagocynthia52@gmail.com
</t>
  </si>
  <si>
    <t xml:space="preserve">Sandra Albanello
</t>
  </si>
  <si>
    <t xml:space="preserve">hipopotamo29@yahoo.com.ar
</t>
  </si>
  <si>
    <t xml:space="preserve">Maca Aroca
</t>
  </si>
  <si>
    <t xml:space="preserve">macaaroca@gmail.com
</t>
  </si>
  <si>
    <t xml:space="preserve">Fiambrería San Jose
</t>
  </si>
  <si>
    <t xml:space="preserve">nicolasborgobello@yahoo.com.ar
</t>
  </si>
  <si>
    <t xml:space="preserve">Alex Lopez
</t>
  </si>
  <si>
    <t xml:space="preserve">alexandraelopez@hotmail.com
</t>
  </si>
  <si>
    <t xml:space="preserve">Sebastian Rusch
</t>
  </si>
  <si>
    <t xml:space="preserve">sebastianrusch20@gmail.com
</t>
  </si>
  <si>
    <t xml:space="preserve">Juan Insfran
</t>
  </si>
  <si>
    <t xml:space="preserve">juaninsfran140799@gmail.com
</t>
  </si>
  <si>
    <t xml:space="preserve">Gissela Valverde
</t>
  </si>
  <si>
    <t xml:space="preserve">valverdegissela@gmail.com
</t>
  </si>
  <si>
    <t xml:space="preserve">Maximiliano Medina
</t>
  </si>
  <si>
    <t xml:space="preserve">mjm.max366@gmail.com
</t>
  </si>
  <si>
    <t xml:space="preserve">HOLISTICA y ARBELL
</t>
  </si>
  <si>
    <t xml:space="preserve">mariacelesteamaro@yahoo.com.ar
</t>
  </si>
  <si>
    <t xml:space="preserve">Lorena Vanesa Torres
</t>
  </si>
  <si>
    <t xml:space="preserve">devarelalt@hotmail.com
</t>
  </si>
  <si>
    <t xml:space="preserve">Facundo Navarro
</t>
  </si>
  <si>
    <t xml:space="preserve">facundo09navarro@gmail.com
</t>
  </si>
  <si>
    <t xml:space="preserve">ARATECH
</t>
  </si>
  <si>
    <t>fventas997@gmail.com</t>
  </si>
  <si>
    <t xml:space="preserve">Veronica Valeria Mochi
</t>
  </si>
  <si>
    <t xml:space="preserve">vero.mochi@gmail.com
</t>
  </si>
  <si>
    <t>Diego</t>
  </si>
  <si>
    <t xml:space="preserve">diegogastonbenez@gmail.com
</t>
  </si>
  <si>
    <t xml:space="preserve">Andy Aguayo
</t>
  </si>
  <si>
    <t xml:space="preserve">aguayoandreaceleste@gmail.com
</t>
  </si>
  <si>
    <t xml:space="preserve">Miriam Mercedes Melo
</t>
  </si>
  <si>
    <t xml:space="preserve">mirian.melo.mercedes@live.com.ar
</t>
  </si>
  <si>
    <t xml:space="preserve">Mikaela Alvarez
</t>
  </si>
  <si>
    <t xml:space="preserve">viloaromas@gmail.com
</t>
  </si>
  <si>
    <t xml:space="preserve">Mauro Perez
</t>
  </si>
  <si>
    <t xml:space="preserve">mauroperez_163@hotmail.com
</t>
  </si>
  <si>
    <t xml:space="preserve">Fragancias Cositas Lindas
</t>
  </si>
  <si>
    <t xml:space="preserve">agiacone@hotmail.com
</t>
  </si>
  <si>
    <t xml:space="preserve">Avellaneda Verónica
</t>
  </si>
  <si>
    <t xml:space="preserve">malpezziadrianaedith@gmail.com
</t>
  </si>
  <si>
    <t xml:space="preserve">Lucila Stepanosky
</t>
  </si>
  <si>
    <t xml:space="preserve">luuciilaa.darre@hotmail.com
</t>
  </si>
  <si>
    <t xml:space="preserve">Claudio Reniero
</t>
  </si>
  <si>
    <t xml:space="preserve">reniero_claudio@hotmail.com
</t>
  </si>
  <si>
    <t xml:space="preserve">Raúl Eduardo Mancini
</t>
  </si>
  <si>
    <t xml:space="preserve">reman65@hotmail.com
</t>
  </si>
  <si>
    <t xml:space="preserve">Marisol Segovia
</t>
  </si>
  <si>
    <t xml:space="preserve">marisolsegovia1972@gmail.com
</t>
  </si>
  <si>
    <t xml:space="preserve">Electro Rocs
</t>
  </si>
  <si>
    <t xml:space="preserve">electro.rocs2590@gmail.com
</t>
  </si>
  <si>
    <t xml:space="preserve">Daniela Rico
</t>
  </si>
  <si>
    <t xml:space="preserve">danigrico@hotmail.com.ar
</t>
  </si>
  <si>
    <t>evelyn</t>
  </si>
  <si>
    <t xml:space="preserve">evelynsalinas777@gmail.com
</t>
  </si>
  <si>
    <t xml:space="preserve">Adela Ampuero
</t>
  </si>
  <si>
    <t xml:space="preserve">ampuero_adela@hotmail.com
</t>
  </si>
  <si>
    <t xml:space="preserve">Analia del Rosario Viveros
</t>
  </si>
  <si>
    <t xml:space="preserve">pampy_83@hotmail.com
</t>
  </si>
  <si>
    <t xml:space="preserve">Aldana Eugenia
</t>
  </si>
  <si>
    <t xml:space="preserve">aldanaerbayo@hotmail.com
</t>
  </si>
  <si>
    <t xml:space="preserve">Alfredo Leandro Sanchez
</t>
  </si>
  <si>
    <t xml:space="preserve">mrctgal@gmail.com
</t>
  </si>
  <si>
    <t xml:space="preserve">Nilo Bullaude
</t>
  </si>
  <si>
    <t xml:space="preserve">nilord_04@hotmail.com
</t>
  </si>
  <si>
    <t xml:space="preserve">Arise Creative
</t>
  </si>
  <si>
    <t xml:space="preserve">rubenramirezproductor@gmail.com
</t>
  </si>
  <si>
    <t xml:space="preserve">Ay Ramirez
</t>
  </si>
  <si>
    <t xml:space="preserve">ay_ramirezcrdo@hotmail.com.ar
</t>
  </si>
  <si>
    <t xml:space="preserve">Natalia Perez
</t>
  </si>
  <si>
    <t xml:space="preserve">naty_perez86@hotmail.com
</t>
  </si>
  <si>
    <t>La llame y me dijo que no podia atenderme que le comente por msj, le mande información y no contesto mas (07/01-08/01 no contesto llamadas)</t>
  </si>
  <si>
    <t xml:space="preserve">Marian Burgarelli
</t>
  </si>
  <si>
    <t xml:space="preserve">mariaam.91@hotmail.com
</t>
  </si>
  <si>
    <t xml:space="preserve">MisAmores Paula
</t>
  </si>
  <si>
    <t xml:space="preserve">paulaandreaperez1975@gmail.com
</t>
  </si>
  <si>
    <t xml:space="preserve">Gustavo Rostagno
</t>
  </si>
  <si>
    <t xml:space="preserve">gustavorostagno297@gmail.com
</t>
  </si>
  <si>
    <t xml:space="preserve">Revendedora Soler Veronica
</t>
  </si>
  <si>
    <t xml:space="preserve">vero9060@hotmail.com
</t>
  </si>
  <si>
    <t>luci_cabrera12</t>
  </si>
  <si>
    <t xml:space="preserve">lucinacabrera51@gmail.com
</t>
  </si>
  <si>
    <t>Chris</t>
  </si>
  <si>
    <t xml:space="preserve">abastecimiento@trimafu.com
</t>
  </si>
  <si>
    <t xml:space="preserve">Ruben Francisco Garcia Linarez
</t>
  </si>
  <si>
    <t xml:space="preserve">rubenlinarez10@gmail.com
</t>
  </si>
  <si>
    <t xml:space="preserve">Zoles Deco
</t>
  </si>
  <si>
    <t xml:space="preserve">yesicanataliaferrari@gmail.com
</t>
  </si>
  <si>
    <t xml:space="preserve">Fercho Softsys
</t>
  </si>
  <si>
    <t xml:space="preserve">ferclavel@yahoo.com
</t>
  </si>
  <si>
    <t xml:space="preserve">Juan José Berlanga
</t>
  </si>
  <si>
    <t xml:space="preserve">juan_ford18@hotmail.com
</t>
  </si>
  <si>
    <t xml:space="preserve">$500.000 – $1.500.000
</t>
  </si>
  <si>
    <t xml:space="preserve">Oscar Galvez
</t>
  </si>
  <si>
    <t>oscargalvez5@hotmail.com</t>
  </si>
  <si>
    <t xml:space="preserve">Natalia Pavone
</t>
  </si>
  <si>
    <t xml:space="preserve">naty24_naty24@hotmail.com
</t>
  </si>
  <si>
    <t xml:space="preserve">Matias Rabitti
</t>
  </si>
  <si>
    <t xml:space="preserve">matiasrbt@hotmail.com
</t>
  </si>
  <si>
    <t xml:space="preserve">Barbara Gonzalez
</t>
  </si>
  <si>
    <t xml:space="preserve">gonzalez.vivasb@gmail.com
</t>
  </si>
  <si>
    <t xml:space="preserve">jenny perez
</t>
  </si>
  <si>
    <t xml:space="preserve">jennyok2610@gmail.com
</t>
  </si>
  <si>
    <t xml:space="preserve">Liliana Pereyra
</t>
  </si>
  <si>
    <t xml:space="preserve">ojitosverdes48@outlook.com
</t>
  </si>
  <si>
    <t xml:space="preserve">Patricia Ipuche
</t>
  </si>
  <si>
    <t xml:space="preserve">patriciavivianaipuche@gmail.com
</t>
  </si>
  <si>
    <t xml:space="preserve">Javito Janko
</t>
  </si>
  <si>
    <t xml:space="preserve">javitojanko@gmail.com
</t>
  </si>
  <si>
    <t xml:space="preserve">Shu Fragancias
</t>
  </si>
  <si>
    <t xml:space="preserve">shuvelas22@gmail.com
</t>
  </si>
  <si>
    <t xml:space="preserve">lacasitadelosduendes
</t>
  </si>
  <si>
    <t xml:space="preserve">soledadvmedela@gmail.com
</t>
  </si>
  <si>
    <t xml:space="preserve">Nirvana Holistica
</t>
  </si>
  <si>
    <t xml:space="preserve">benitoveronica659@gmail.com
</t>
  </si>
  <si>
    <t xml:space="preserve">Silvia Palacios
</t>
  </si>
  <si>
    <t xml:space="preserve">silviapal24261@gmail.com
</t>
  </si>
  <si>
    <t xml:space="preserve">Javier Oscar Delgado
</t>
  </si>
  <si>
    <t xml:space="preserve">delgadojavieroscar@hotmail.com.ar
</t>
  </si>
  <si>
    <t xml:space="preserve">Federico Gomez
</t>
  </si>
  <si>
    <t xml:space="preserve">feditogomez@live.com
</t>
  </si>
  <si>
    <t xml:space="preserve">Paula Martinez
</t>
  </si>
  <si>
    <t xml:space="preserve">andreapaula_1912@hotmail.com
</t>
  </si>
  <si>
    <t xml:space="preserve">Romina Rodriguez
</t>
  </si>
  <si>
    <t xml:space="preserve">romina-854@live.com.ar
</t>
  </si>
  <si>
    <t xml:space="preserve">Roma AromasDeco
</t>
  </si>
  <si>
    <t xml:space="preserve">yamib20@hotmail.com
</t>
  </si>
  <si>
    <t>LautiE</t>
  </si>
  <si>
    <t xml:space="preserve">lautaroespilocin@gmail.com
</t>
  </si>
  <si>
    <t xml:space="preserve">Dharma - yerba, todo mates, hierbas y flores , Bijuu, LGBT
</t>
  </si>
  <si>
    <t xml:space="preserve">vellauri.1806@gmail.com
</t>
  </si>
  <si>
    <t>Gisela</t>
  </si>
  <si>
    <t>gisemaillot1985@gmail.com</t>
  </si>
  <si>
    <t xml:space="preserve">Maisons Essences
</t>
  </si>
  <si>
    <t xml:space="preserve">Mariapamelacasas@gmail.com
</t>
  </si>
  <si>
    <t xml:space="preserve">Cindy Alaniz
</t>
  </si>
  <si>
    <t xml:space="preserve">irenealaniz@hotmail.es
</t>
  </si>
  <si>
    <t xml:space="preserve">Maria Alejandra Herrera Gerardi
</t>
  </si>
  <si>
    <t xml:space="preserve">mariaalejandraherreragerardi@g.ail.com
</t>
  </si>
  <si>
    <t xml:space="preserve">LIMPIART Miraflores
</t>
  </si>
  <si>
    <t xml:space="preserve">zulmakarinaboroskyroldan@hotmail.com
</t>
  </si>
  <si>
    <t xml:space="preserve">Ruty Sanchez
</t>
  </si>
  <si>
    <t xml:space="preserve">ruty.a.sanchez@gmail.com
</t>
  </si>
  <si>
    <t xml:space="preserve">Ariel Santomartino
</t>
  </si>
  <si>
    <t xml:space="preserve">santomartinocontrataciones@gmail.com
</t>
  </si>
  <si>
    <t xml:space="preserve">Yamila Marilin Gonzalez
</t>
  </si>
  <si>
    <t xml:space="preserve">ygonzalez0308@gmail.com
</t>
  </si>
  <si>
    <t xml:space="preserve">Nicole Figueroa
</t>
  </si>
  <si>
    <t xml:space="preserve">Michelledearma945@gmail.com
</t>
  </si>
  <si>
    <t xml:space="preserve">Julio Muniz 11
</t>
  </si>
  <si>
    <t xml:space="preserve">apaloej.2@gmail.com
</t>
  </si>
  <si>
    <t xml:space="preserve">Florencia vazquez
</t>
  </si>
  <si>
    <t xml:space="preserve">florvaz2701@gmail.com
</t>
  </si>
  <si>
    <t xml:space="preserve">Florencia Aguerrido
</t>
  </si>
  <si>
    <t>Florenciaaguerrido4@gmail.com</t>
  </si>
  <si>
    <t>Carla</t>
  </si>
  <si>
    <t>rmc.1988.3@gmail.co</t>
  </si>
  <si>
    <t xml:space="preserve">Leila Elisa Barrios
</t>
  </si>
  <si>
    <t>leilaelisabarrios@gmail.com</t>
  </si>
  <si>
    <t xml:space="preserve">Adriana Felipe
</t>
  </si>
  <si>
    <t>veraadrianafelipedossantos@gmail.com</t>
  </si>
  <si>
    <t xml:space="preserve">vanesa cayumil
</t>
  </si>
  <si>
    <t xml:space="preserve">vanesacayumil1@gmail.com
</t>
  </si>
  <si>
    <t xml:space="preserve">Fiorela Olguin
</t>
  </si>
  <si>
    <t xml:space="preserve">fiorelaolguin@outlook.com
</t>
  </si>
  <si>
    <t xml:space="preserve">Hermi Perez
</t>
  </si>
  <si>
    <t xml:space="preserve">hermiperez828@gmail.com
</t>
  </si>
  <si>
    <t xml:space="preserve">CASA DE LIMPIEZA
</t>
  </si>
  <si>
    <t xml:space="preserve">elisjimu@gmail.com
</t>
  </si>
  <si>
    <t xml:space="preserve">Dania Pavon
</t>
  </si>
  <si>
    <t xml:space="preserve">daniapavon22@gmail.com
</t>
  </si>
  <si>
    <t xml:space="preserve">gisela sabrina Segatore
</t>
  </si>
  <si>
    <t xml:space="preserve">gi08081980@gmail.com
</t>
  </si>
  <si>
    <t xml:space="preserve">Distribuidora Mega Clean
</t>
  </si>
  <si>
    <t xml:space="preserve">Distribuidora@megaclean.com
</t>
  </si>
  <si>
    <t xml:space="preserve">Mati Kudaka
</t>
  </si>
  <si>
    <t xml:space="preserve">matiaskudaka@hotmail.com
</t>
  </si>
  <si>
    <t xml:space="preserve">Sabrina Basualdo
</t>
  </si>
  <si>
    <t xml:space="preserve">sabribasualdo79@gmail.com
</t>
  </si>
  <si>
    <t xml:space="preserve">Teresa Rojas
</t>
  </si>
  <si>
    <t xml:space="preserve">enzohuder15@gmail.com
</t>
  </si>
  <si>
    <t xml:space="preserve">Andrea De La Coria
</t>
  </si>
  <si>
    <t xml:space="preserve">andreadelacoria17@gmail.com
</t>
  </si>
  <si>
    <t xml:space="preserve">Ori Varone
</t>
  </si>
  <si>
    <t xml:space="preserve">ori.varone@hotmail.com
</t>
  </si>
  <si>
    <t xml:space="preserve">Pediloo Facil
</t>
  </si>
  <si>
    <t xml:space="preserve">micae.angulo@gmail.com
</t>
  </si>
  <si>
    <t xml:space="preserve">Marta Tabilo
</t>
  </si>
  <si>
    <t xml:space="preserve">martinatabilo19@gmail.com
</t>
  </si>
  <si>
    <t xml:space="preserve">Claudia Florit
</t>
  </si>
  <si>
    <t xml:space="preserve">claudia.florit@hotmail.com
</t>
  </si>
  <si>
    <t xml:space="preserve">Silvana Graebner
</t>
  </si>
  <si>
    <t xml:space="preserve">silvanaandreagraebner@gmail.com.com
</t>
  </si>
  <si>
    <t xml:space="preserve">Mariana Vogel
</t>
  </si>
  <si>
    <t xml:space="preserve">marianasoledadvogel2@gmail.com
</t>
  </si>
  <si>
    <t xml:space="preserve">Graciela Galdame
</t>
  </si>
  <si>
    <t xml:space="preserve">gracielagaldame@hotmail.com
</t>
  </si>
  <si>
    <t xml:space="preserve">Vanina Soledad Guardamagna
</t>
  </si>
  <si>
    <t xml:space="preserve">vaninaguardamagna30@gmail.com
</t>
  </si>
  <si>
    <t xml:space="preserve">Luz Leguizamon
</t>
  </si>
  <si>
    <t xml:space="preserve">morenagiller@gmail.com
</t>
  </si>
  <si>
    <t xml:space="preserve">Andrea Olavarria
</t>
  </si>
  <si>
    <t xml:space="preserve">lic.olavarria@gmail.com
</t>
  </si>
  <si>
    <t xml:space="preserve">Enzo Vaccaro
</t>
  </si>
  <si>
    <t xml:space="preserve">enzo_vaccaro@hotmail.com
</t>
  </si>
  <si>
    <t xml:space="preserve">Salomé Gorosito
</t>
  </si>
  <si>
    <t xml:space="preserve">gorosito260@gmail.com
</t>
  </si>
  <si>
    <t xml:space="preserve">gabriela morone
</t>
  </si>
  <si>
    <t xml:space="preserve">moronegabriela9@gmail.com
</t>
  </si>
  <si>
    <t xml:space="preserve">Ayelén Luna
</t>
  </si>
  <si>
    <t xml:space="preserve">anyiluna99@hotmail.com
</t>
  </si>
  <si>
    <t xml:space="preserve">VC aromas: AROMAS Y VELAS
</t>
  </si>
  <si>
    <t xml:space="preserve">viraca01@yahoo.com.ar
</t>
  </si>
  <si>
    <t xml:space="preserve">Luis Eduardo Chemmés
</t>
  </si>
  <si>
    <t xml:space="preserve">info@showpartysrl.com
</t>
  </si>
  <si>
    <t xml:space="preserve">Cris Dulce
</t>
  </si>
  <si>
    <t xml:space="preserve">mascotafeliz2000@hotmail.com
</t>
  </si>
  <si>
    <t xml:space="preserve">Gabriel Cabezas
</t>
  </si>
  <si>
    <t xml:space="preserve">cabezasga9010@gmail.com
</t>
  </si>
  <si>
    <t xml:space="preserve">Mariana Lopez
</t>
  </si>
  <si>
    <t xml:space="preserve">mlopez3070@hotmail.com
</t>
  </si>
  <si>
    <t xml:space="preserve">Macarena Jardin
</t>
  </si>
  <si>
    <t xml:space="preserve">macarena_jardin@hotmail.com
</t>
  </si>
  <si>
    <t xml:space="preserve">Marcha Nordica Ushuaia
</t>
  </si>
  <si>
    <t xml:space="preserve">pablo1969cano@hotmail.com
</t>
  </si>
  <si>
    <t xml:space="preserve">Marcelo Torres
</t>
  </si>
  <si>
    <t xml:space="preserve">revolutionjujuy@gmail.com
</t>
  </si>
  <si>
    <t xml:space="preserve">Nora Miranda
</t>
  </si>
  <si>
    <t xml:space="preserve">alodenora@hotmail.com
</t>
  </si>
  <si>
    <t xml:space="preserve">Oro Verde Pesca
</t>
  </si>
  <si>
    <t xml:space="preserve">marciagiacomini@gmail.com
</t>
  </si>
  <si>
    <t xml:space="preserve">Dani/Marketing de afiliados
</t>
  </si>
  <si>
    <t xml:space="preserve">julioydani08@gmail.com
</t>
  </si>
  <si>
    <t xml:space="preserve">Mariela Rios
</t>
  </si>
  <si>
    <t xml:space="preserve">marielacolorios@hotmail.com
</t>
  </si>
  <si>
    <t xml:space="preserve">Maria Elsa Cea
</t>
  </si>
  <si>
    <t xml:space="preserve">ceamariaelsa@gmail.com
</t>
  </si>
  <si>
    <t xml:space="preserve">catalina Lator
</t>
  </si>
  <si>
    <t xml:space="preserve">katylator@hotmail.com.ar
</t>
  </si>
  <si>
    <t xml:space="preserve">Ara Fanloo
</t>
  </si>
  <si>
    <t xml:space="preserve">aracelifanloo@hotmail.com
</t>
  </si>
  <si>
    <t xml:space="preserve">DOMINGUEZ SILVIA PATRICIA
</t>
  </si>
  <si>
    <t xml:space="preserve">Dominguezsilviap@gamil.com
</t>
  </si>
  <si>
    <t>Sofia</t>
  </si>
  <si>
    <t xml:space="preserve">sofii.-1994@hotmail.com
</t>
  </si>
  <si>
    <t xml:space="preserve">Confetti multirubro
</t>
  </si>
  <si>
    <t xml:space="preserve">isabeldominguez600@gmail.com
</t>
  </si>
  <si>
    <t xml:space="preserve">ARCO IRIS Diseños
</t>
  </si>
  <si>
    <t xml:space="preserve">gonzacozzi@hotmail.com.ar
</t>
  </si>
  <si>
    <t xml:space="preserve">VIVERO LA EMILIA
</t>
  </si>
  <si>
    <t xml:space="preserve">analiagifusi.agf@gmail.com
</t>
  </si>
  <si>
    <t xml:space="preserve">Rosa Maidana
</t>
  </si>
  <si>
    <t xml:space="preserve">flordeloto115@gmail.com
</t>
  </si>
  <si>
    <t xml:space="preserve">Emilio Acosta
</t>
  </si>
  <si>
    <t xml:space="preserve">elemilio34@gmail.com
</t>
  </si>
  <si>
    <t>CAMI</t>
  </si>
  <si>
    <t xml:space="preserve">caami64@hotmail.com
</t>
  </si>
  <si>
    <t xml:space="preserve">Hernán Calderón
</t>
  </si>
  <si>
    <t xml:space="preserve">mauriciocalderon127@gmail.com
</t>
  </si>
  <si>
    <t xml:space="preserve">María Silvia Genovese
</t>
  </si>
  <si>
    <t xml:space="preserve">miscreaciones2025@yahoo.com
</t>
  </si>
  <si>
    <t xml:space="preserve">Fiama Lorenzón
</t>
  </si>
  <si>
    <t xml:space="preserve">fiabelen@hotmail.com
</t>
  </si>
  <si>
    <t xml:space="preserve">Andrea Gregorutti
</t>
  </si>
  <si>
    <t xml:space="preserve">andreagregoruttiaromas@gmail.com
</t>
  </si>
  <si>
    <t xml:space="preserve">Analuz Diaz
</t>
  </si>
  <si>
    <t xml:space="preserve">anitabelieber35@gmail.com
</t>
  </si>
  <si>
    <t>Lucas</t>
  </si>
  <si>
    <t xml:space="preserve">titostone79@gmail.com
</t>
  </si>
  <si>
    <t xml:space="preserve">Silvia Karina Rodriguez
</t>
  </si>
  <si>
    <t xml:space="preserve">rodriguezsilviakarina@yahoo.com.ar
</t>
  </si>
  <si>
    <t xml:space="preserve">Ga Xll
</t>
  </si>
  <si>
    <t xml:space="preserve">garolon24@hotmail.com
</t>
  </si>
  <si>
    <t xml:space="preserve">Agus Rosales
</t>
  </si>
  <si>
    <t xml:space="preserve">lunna1520@gmail.com
</t>
  </si>
  <si>
    <t xml:space="preserve">Melody Gimenez
</t>
  </si>
  <si>
    <t xml:space="preserve">meyma_2030@hotmail.com
</t>
  </si>
  <si>
    <t xml:space="preserve">Eliana Cortez
</t>
  </si>
  <si>
    <t xml:space="preserve">ely_any1@hotmail.com
</t>
  </si>
  <si>
    <t xml:space="preserve">Gigi Macherett
</t>
  </si>
  <si>
    <t xml:space="preserve">giselaeliana@hoymail.com
</t>
  </si>
  <si>
    <t>𝓜𝓪𝓻𝓽𝓲</t>
  </si>
  <si>
    <t xml:space="preserve">martumarenzi@icloud.com
</t>
  </si>
  <si>
    <t xml:space="preserve">Mirian Heredia
</t>
  </si>
  <si>
    <t xml:space="preserve">miriheredia7@gmail.com
</t>
  </si>
  <si>
    <t xml:space="preserve">Luna
</t>
  </si>
  <si>
    <t xml:space="preserve">lunajenifer061@gmail.com
</t>
  </si>
  <si>
    <t xml:space="preserve">Juan Pablo Albarracin
</t>
  </si>
  <si>
    <t xml:space="preserve">jpa.elnegro@hotmail.com
</t>
  </si>
  <si>
    <t xml:space="preserve">Matias Ruiz
</t>
  </si>
  <si>
    <t xml:space="preserve">josematiasruiz234@gmail.com
</t>
  </si>
  <si>
    <t xml:space="preserve">Ana Laura Gándara
</t>
  </si>
  <si>
    <t xml:space="preserve">laugaar@hotmail.com
</t>
  </si>
  <si>
    <t xml:space="preserve">Lujan gonzalez
</t>
  </si>
  <si>
    <t xml:space="preserve">gonzalezcoto480@gmail.com
</t>
  </si>
  <si>
    <t xml:space="preserve">Nico Rodriguez
</t>
  </si>
  <si>
    <t xml:space="preserve">nicolas_rp_13@hotmail.com
</t>
  </si>
  <si>
    <t xml:space="preserve">Silka's
</t>
  </si>
  <si>
    <t xml:space="preserve">silkasrg@gmail.com
</t>
  </si>
  <si>
    <t xml:space="preserve">Flopy Gette
</t>
  </si>
  <si>
    <t>gettemaflorencia@gmail.com</t>
  </si>
  <si>
    <t xml:space="preserve">Valeria Alvornoz
</t>
  </si>
  <si>
    <t xml:space="preserve">valeriaalvornoz877@gmail.com
</t>
  </si>
  <si>
    <t xml:space="preserve">Jessica Aldana
</t>
  </si>
  <si>
    <t xml:space="preserve">jessica_2330@hotmail.com
</t>
  </si>
  <si>
    <t xml:space="preserve">Alicia Pereyra
</t>
  </si>
  <si>
    <t xml:space="preserve">ali.pereyra@hotmail.com
</t>
  </si>
  <si>
    <t xml:space="preserve">Carolina De los Angeles
</t>
  </si>
  <si>
    <t xml:space="preserve">carola106@hotmail.com
</t>
  </si>
  <si>
    <t xml:space="preserve">Melisa Mendez Alonso
</t>
  </si>
  <si>
    <t xml:space="preserve">melisamendezalonso@hotmail.com
</t>
  </si>
  <si>
    <t xml:space="preserve">Mercedes Lorena Assone
</t>
  </si>
  <si>
    <t xml:space="preserve">merceassone@yahoo.com.ar
</t>
  </si>
  <si>
    <t xml:space="preserve">Jorge Fernando Regos
</t>
  </si>
  <si>
    <t xml:space="preserve">info@nuevomilenioweb.com
</t>
  </si>
  <si>
    <t xml:space="preserve">Luz   </t>
  </si>
  <si>
    <t xml:space="preserve">luzpenades@hotmail.com
</t>
  </si>
  <si>
    <t xml:space="preserve">Valen Ducca
</t>
  </si>
  <si>
    <t xml:space="preserve">valentinaducca_17@hotmail.com
</t>
  </si>
  <si>
    <t xml:space="preserve">Sofia Merino
</t>
  </si>
  <si>
    <t xml:space="preserve">merino.sofia99@gmail.com
</t>
  </si>
  <si>
    <t xml:space="preserve">Caro Macedo
</t>
  </si>
  <si>
    <t xml:space="preserve">caritto_4@hotmail.com
</t>
  </si>
  <si>
    <t xml:space="preserve">Erika veliz Guerrero
</t>
  </si>
  <si>
    <t xml:space="preserve">velizguerreroerika@gmail.com
</t>
  </si>
  <si>
    <t>ANANDA .Sahumerios, velas, aromas naturales</t>
  </si>
  <si>
    <t xml:space="preserve">cecimartinezpigue@gmail.com
</t>
  </si>
  <si>
    <t xml:space="preserve">Nelly Comodoro
</t>
  </si>
  <si>
    <t xml:space="preserve">nelidapopich@hotmail.com
</t>
  </si>
  <si>
    <t xml:space="preserve">Liliana Bogdan
</t>
  </si>
  <si>
    <t xml:space="preserve">estelalili2406@gmail.com
</t>
  </si>
  <si>
    <t xml:space="preserve">Nony Venialgo
</t>
  </si>
  <si>
    <t xml:space="preserve">aidalvenialgo@gmail.com
</t>
  </si>
  <si>
    <t xml:space="preserve">Lunita Tucumana
</t>
  </si>
  <si>
    <t xml:space="preserve">melhdiazdure@gmail.com
</t>
  </si>
  <si>
    <t xml:space="preserve">Analia Verónica Giunchigliani
</t>
  </si>
  <si>
    <t xml:space="preserve">giunchi42@gmail.com
</t>
  </si>
  <si>
    <t xml:space="preserve">Leo Berardo
</t>
  </si>
  <si>
    <t xml:space="preserve">leo_cinco@hotmail.com
</t>
  </si>
  <si>
    <t xml:space="preserve">Laura Nuñez
</t>
  </si>
  <si>
    <t xml:space="preserve">nunezlaura170@gmail.com
</t>
  </si>
  <si>
    <t xml:space="preserve">Nancy Garrido
</t>
  </si>
  <si>
    <t xml:space="preserve">luzdeapriel016@gmail.com
</t>
  </si>
  <si>
    <t xml:space="preserve">Sonia Aguirre
</t>
  </si>
  <si>
    <t xml:space="preserve">xiomiorrego09@gmail.com
</t>
  </si>
  <si>
    <t xml:space="preserve">Mónica Benítez- Distribuidora
</t>
  </si>
  <si>
    <t xml:space="preserve">sandramarzzan14@hotmail.com
</t>
  </si>
  <si>
    <t xml:space="preserve">Fede Herbas
</t>
  </si>
  <si>
    <t xml:space="preserve">fede_david06@hotmail.com
</t>
  </si>
  <si>
    <t xml:space="preserve">Maria Antonela Michetti
</t>
  </si>
  <si>
    <t xml:space="preserve">mariaantonelamichetti@gmail.com
</t>
  </si>
  <si>
    <t xml:space="preserve">Natalia Nuñez
</t>
  </si>
  <si>
    <t xml:space="preserve">nn.talymkt@gmail.com
</t>
  </si>
  <si>
    <t>Nelsa Muñoz</t>
  </si>
  <si>
    <t>nelsa.marmoli@gmail.com</t>
  </si>
  <si>
    <t>otro</t>
  </si>
  <si>
    <t xml:space="preserve">Campaña de Clientes potenciales
</t>
  </si>
  <si>
    <t>Dueño de negocio | Resto del pais</t>
  </si>
  <si>
    <t>A</t>
  </si>
  <si>
    <t>fb</t>
  </si>
  <si>
    <t>Romina Pierleoni</t>
  </si>
  <si>
    <t>india.cristales@gmail.com</t>
  </si>
  <si>
    <t>Dueño de negocio | CABA + AMBA</t>
  </si>
  <si>
    <t>ig</t>
  </si>
  <si>
    <t>Alejandra Gonzalez</t>
  </si>
  <si>
    <t>alejandragonzalez2985@gmail.com</t>
  </si>
  <si>
    <t>Maxi Urroz</t>
  </si>
  <si>
    <t>maxiurroz@hotmail.com</t>
  </si>
  <si>
    <t>Lucía Elena Crescimbeni</t>
  </si>
  <si>
    <t>lucycrescimbeni@homail.com</t>
  </si>
  <si>
    <t>Ledys Popovich</t>
  </si>
  <si>
    <t>lledyspopovich@gmail.com</t>
  </si>
  <si>
    <t>Guillermina Fernandez</t>
  </si>
  <si>
    <t>elsy.fd@hotmail.com</t>
  </si>
  <si>
    <t>artículos_de_cocina</t>
  </si>
  <si>
    <t>Cristina Yuan</t>
  </si>
  <si>
    <t>mcyuan27@gmail.com</t>
  </si>
  <si>
    <t>Nancy Jara</t>
  </si>
  <si>
    <t>nancyjara74@hotmail.com</t>
  </si>
  <si>
    <t>Liz Gimenez</t>
  </si>
  <si>
    <t>gimenezelisabeth@gmail.com</t>
  </si>
  <si>
    <t>Natalia Nuñez</t>
  </si>
  <si>
    <t>nn.talymkt@gmail.com</t>
  </si>
  <si>
    <t>Maria Antonela Michetti</t>
  </si>
  <si>
    <t>mariaantonelamichetti@gmail.com</t>
  </si>
  <si>
    <t>Fede Herbas</t>
  </si>
  <si>
    <t>fede_david06@hotmail.com</t>
  </si>
  <si>
    <t>$500.000_–_$1.500.000</t>
  </si>
  <si>
    <t>C</t>
  </si>
  <si>
    <t>Mónica Benítez- Distribuidora</t>
  </si>
  <si>
    <t>sandramarzzan14@hotmail.com</t>
  </si>
  <si>
    <t>Zulma Romero</t>
  </si>
  <si>
    <t>griselda1962@yahoo.com</t>
  </si>
  <si>
    <t>Gisela Belen Heit</t>
  </si>
  <si>
    <t>gisebelenheit86@gmail.com</t>
  </si>
  <si>
    <t>Mabel Adriana</t>
  </si>
  <si>
    <t>Mabelfalcon134@gmail.com</t>
  </si>
  <si>
    <t>Patricia Guzman</t>
  </si>
  <si>
    <t>normagutierrez69@gmail.com</t>
  </si>
  <si>
    <t>Brenda Mariano</t>
  </si>
  <si>
    <t>brendamariano123456@gmail.com</t>
  </si>
  <si>
    <t>más_de_$1.500.000</t>
  </si>
  <si>
    <t>E</t>
  </si>
  <si>
    <t>Macarena Carabajal</t>
  </si>
  <si>
    <t>valeyazmin2010@hotmail.com</t>
  </si>
  <si>
    <t>Andrea Melisa Contrera</t>
  </si>
  <si>
    <t>contreramelisa17@gmail.com</t>
  </si>
  <si>
    <t>Malena Scalabrini</t>
  </si>
  <si>
    <t>Malenascalabrini23@gmail.com</t>
  </si>
  <si>
    <t>Elvira Carnicel</t>
  </si>
  <si>
    <t>elvi-yoga@hotmail.com</t>
  </si>
  <si>
    <t>Jorge Palomo</t>
  </si>
  <si>
    <t>chochpalomo@gmail.com</t>
  </si>
  <si>
    <t>Ignacio Pedemonte</t>
  </si>
  <si>
    <t>pedemonteignacio@gmail.com</t>
  </si>
  <si>
    <t>Jonathan Herrero</t>
  </si>
  <si>
    <t>jonaherrero121@gmail.com</t>
  </si>
  <si>
    <t>Patry</t>
  </si>
  <si>
    <t>patriramiirez177@gmail.com</t>
  </si>
  <si>
    <t>Maruu Queirolo</t>
  </si>
  <si>
    <t>queirolomaria5@gmail.com</t>
  </si>
  <si>
    <t>Fernanda Famularo</t>
  </si>
  <si>
    <t>mariafernandafamularoe@hotmail.com</t>
  </si>
  <si>
    <t>Maribel Segovia</t>
  </si>
  <si>
    <t>maribelsegovia06@gmail.com</t>
  </si>
  <si>
    <t>Mar Orce</t>
  </si>
  <si>
    <t>joaquinaorce@gmail.com</t>
  </si>
  <si>
    <t>Juliana Dabove</t>
  </si>
  <si>
    <t>julibeniciodabove@gmail.com</t>
  </si>
  <si>
    <t>Giuli Abbiatti</t>
  </si>
  <si>
    <t>voltix.am@gmail.com</t>
  </si>
  <si>
    <t>Rocio Sosa</t>
  </si>
  <si>
    <t>rociodayanasosa@gmail.com</t>
  </si>
  <si>
    <t>Patito Nehuen Gonzalez</t>
  </si>
  <si>
    <t>aleyersi@hotmail.com</t>
  </si>
  <si>
    <t>Mk fusion</t>
  </si>
  <si>
    <t>mkfusion33@gmail.com</t>
  </si>
  <si>
    <t>Sandra Paez</t>
  </si>
  <si>
    <t>sandrapaezgud@yahoo.com.ar</t>
  </si>
  <si>
    <t>Nati Bergallo</t>
  </si>
  <si>
    <t>natividadbergallo@hotmail.com</t>
  </si>
  <si>
    <t>Yanina Daga</t>
  </si>
  <si>
    <t>yanhyy_13@hotmail.com</t>
  </si>
  <si>
    <t>Diaz Luciana</t>
  </si>
  <si>
    <t>nadiaa.diaz2016@gmail.com</t>
  </si>
  <si>
    <t>Paola Garrone</t>
  </si>
  <si>
    <t>info@margaaromas.com.ar</t>
  </si>
  <si>
    <t>Anabel Atencio</t>
  </si>
  <si>
    <t>anabel_leprosa@hotmail.com</t>
  </si>
  <si>
    <t>Melina Passarino</t>
  </si>
  <si>
    <t>melinapassarino@gmail.com</t>
  </si>
  <si>
    <t>Diana Robledo</t>
  </si>
  <si>
    <t>dianayagusi@gmail.com</t>
  </si>
  <si>
    <t>4 de Trébol.Aromas</t>
  </si>
  <si>
    <t>milse14belgrano@gmail.com</t>
  </si>
  <si>
    <t>Celia Carina Schunk</t>
  </si>
  <si>
    <t>celiacarina.cc@gmail.com</t>
  </si>
  <si>
    <t>Regina Arias</t>
  </si>
  <si>
    <t>mra2904regi@gmail.com</t>
  </si>
  <si>
    <t>Samsara Aromas</t>
  </si>
  <si>
    <t>eloyisaias1616@gmail.com</t>
  </si>
  <si>
    <t>Priscila Vargas Riquelme</t>
  </si>
  <si>
    <t>priscila.vargas1996@gmail.com</t>
  </si>
  <si>
    <t>Sivelitaa Jara Alarcón</t>
  </si>
  <si>
    <t>siveladelvallejara@gmail.com</t>
  </si>
  <si>
    <t>SOL MAILIN</t>
  </si>
  <si>
    <t>mailinpepio2014@gmail.com</t>
  </si>
  <si>
    <t>Naty Cecilia Benitez</t>
  </si>
  <si>
    <t>naty1911@hotmail.es</t>
  </si>
  <si>
    <t>Pol Fla</t>
  </si>
  <si>
    <t>polanco_flavia@hotmail.com</t>
  </si>
  <si>
    <t>Barros Janina</t>
  </si>
  <si>
    <t>bjanina613@gmail.com</t>
  </si>
  <si>
    <t>Clara Bertona</t>
  </si>
  <si>
    <t>germinas2019@gmail.com</t>
  </si>
  <si>
    <t>Brian Jesus bravo</t>
  </si>
  <si>
    <t>brianbravo199300@gmail.com</t>
  </si>
  <si>
    <t>Fernando Ferrari Gino</t>
  </si>
  <si>
    <t>fferrarigino@gmail.com</t>
  </si>
  <si>
    <t>Joaquin Torralba</t>
  </si>
  <si>
    <t>jtorralba1010@gmail.com</t>
  </si>
  <si>
    <t>Laura Samos</t>
  </si>
  <si>
    <t>laurasamos17@hotmail.com</t>
  </si>
  <si>
    <t>Silvia Ester Galarza</t>
  </si>
  <si>
    <t>silviaesterbicholandya@gmail.com</t>
  </si>
  <si>
    <t>Mkela Susana Rios</t>
  </si>
  <si>
    <t>makelarios10@gmail.com</t>
  </si>
  <si>
    <t>Sergio Fernandez</t>
  </si>
  <si>
    <t>sergioorlandofernandez1963@gmail.com</t>
  </si>
  <si>
    <t>Estefania Bastias</t>
  </si>
  <si>
    <t>estefaniabastias30@gmail.com</t>
  </si>
  <si>
    <t>Adriana Alvarez</t>
  </si>
  <si>
    <t>alvarez_adriana08@yahoo.com.ar</t>
  </si>
  <si>
    <t>Lorena Galabres</t>
  </si>
  <si>
    <t>lagranloly@hotmail.com</t>
  </si>
  <si>
    <t>soy nuevo</t>
  </si>
  <si>
    <t>Todos</t>
  </si>
  <si>
    <t>Daniela Schroh</t>
  </si>
  <si>
    <t>scdanielaveronica332@gmail.com</t>
  </si>
  <si>
    <t>accesorios</t>
  </si>
  <si>
    <t>Johanna Peralta</t>
  </si>
  <si>
    <t>leodg2011@gmail.com</t>
  </si>
  <si>
    <t>no sé que venden</t>
  </si>
  <si>
    <t>Elizabeth Cappelletti</t>
  </si>
  <si>
    <t>sitegusta24@gmail.com</t>
  </si>
  <si>
    <t>más de 5 años</t>
  </si>
  <si>
    <t>varios</t>
  </si>
  <si>
    <t>Ga Xll</t>
  </si>
  <si>
    <t>garolon24@hotmail.com</t>
  </si>
  <si>
    <t>Humidificador</t>
  </si>
  <si>
    <t>Lucía Regis Poggio</t>
  </si>
  <si>
    <t>lurlud@hotmail.com</t>
  </si>
  <si>
    <t>Humidificadores</t>
  </si>
  <si>
    <t>Marina Balmaceda</t>
  </si>
  <si>
    <t>Marinabalma@hotmail.com</t>
  </si>
  <si>
    <t>Tenemos locales en san Andrés de Giles me podrás mandar el catálogo</t>
  </si>
  <si>
    <t>Roma Aromas&amp;Deco</t>
  </si>
  <si>
    <t>yamib20@hotmail.com</t>
  </si>
  <si>
    <t>menos de 2 años</t>
  </si>
  <si>
    <t>Decoracion hogar Aromas</t>
  </si>
  <si>
    <t>Ernesto Rusinek</t>
  </si>
  <si>
    <t>e_rusinek@yahoo.es</t>
  </si>
  <si>
    <t>más de $1.500.000</t>
  </si>
  <si>
    <t>más de 10 años</t>
  </si>
  <si>
    <t>por ahora humidificadores</t>
  </si>
  <si>
    <t>Hermi Perez</t>
  </si>
  <si>
    <t>hermiperez828@gmail.com</t>
  </si>
  <si>
    <t>difusores</t>
  </si>
  <si>
    <t>Lujan gonzalez</t>
  </si>
  <si>
    <t>gonzalezcoto480@gmail.com</t>
  </si>
  <si>
    <t>Un poco de todo</t>
  </si>
  <si>
    <t>Quiero ver el catálogo completo, muchas gracias</t>
  </si>
  <si>
    <t>Gabriel Cabezas</t>
  </si>
  <si>
    <t>cabezasga9010@gmail.com</t>
  </si>
  <si>
    <t>todos</t>
  </si>
  <si>
    <t>Vanessa Hernández</t>
  </si>
  <si>
    <t>vanesanataliahernandez@gmail.com</t>
  </si>
  <si>
    <t>Decoración</t>
  </si>
  <si>
    <t>julio muñiz</t>
  </si>
  <si>
    <t>apaloej.2@gmail.com</t>
  </si>
  <si>
    <t>catalogo</t>
  </si>
  <si>
    <t>Luis Eduardo Chemmés</t>
  </si>
  <si>
    <t>info@showpartysrl.com</t>
  </si>
  <si>
    <t>Bazar regalos</t>
  </si>
  <si>
    <t>Pandora Popurri</t>
  </si>
  <si>
    <t>humificador</t>
  </si>
  <si>
    <t>Geraldine Ferraro</t>
  </si>
  <si>
    <t>geriferraro93@gmail.com</t>
  </si>
  <si>
    <t>Humificador</t>
  </si>
  <si>
    <t>Melina Rodriguez</t>
  </si>
  <si>
    <t>Liliana Hernandez</t>
  </si>
  <si>
    <t>carinahernandez81@hotmail.com</t>
  </si>
  <si>
    <t>Vane Vargas</t>
  </si>
  <si>
    <t>vargas-vanesa@hotmail.com</t>
  </si>
  <si>
    <t>Claudia Zima</t>
  </si>
  <si>
    <t>Todo lo que tenga que ver con ventas al público y por mayor</t>
  </si>
  <si>
    <t>Raúl Eduardo Mancini</t>
  </si>
  <si>
    <t>reman65@hotmail.com</t>
  </si>
  <si>
    <t>humidificador</t>
  </si>
  <si>
    <t>Juan Lopez</t>
  </si>
  <si>
    <t>juan2015jtm@gmail.com</t>
  </si>
  <si>
    <t>En los humificadores</t>
  </si>
  <si>
    <t>Graciela</t>
  </si>
  <si>
    <t>gachifurini@hotmail.com</t>
  </si>
  <si>
    <t>Cosasde vocina</t>
  </si>
  <si>
    <t>Gonzalo Areseygor</t>
  </si>
  <si>
    <t>gon_46mg@hotmail.com</t>
  </si>
  <si>
    <t>Vaporisador</t>
  </si>
  <si>
    <t>Roxi Quiroz</t>
  </si>
  <si>
    <t>arixaquiroz@hotmail.com.ar</t>
  </si>
  <si>
    <t>Marisel Estela Echegaray</t>
  </si>
  <si>
    <t>mariselechegaray07@gmail.com</t>
  </si>
  <si>
    <t>Santiago Somonte</t>
  </si>
  <si>
    <t>ssomonte@yahoo.com</t>
  </si>
  <si>
    <t>Varios. Humidificadores</t>
  </si>
  <si>
    <t>Leo Berardo</t>
  </si>
  <si>
    <t>leo_cinco@hotmail.com</t>
  </si>
  <si>
    <t>Sasha Velazquez</t>
  </si>
  <si>
    <t>sashavelazquez96@gmail.com</t>
  </si>
  <si>
    <t>Mix</t>
  </si>
  <si>
    <t>Gérminas - Tienda emprendedora, holística y natural</t>
  </si>
  <si>
    <t>Veronica Fuster</t>
  </si>
  <si>
    <t>veronicaelisabetfuster205@gmail.com</t>
  </si>
  <si>
    <t>karina</t>
  </si>
  <si>
    <t>karina_cames_1970@hotmail.com</t>
  </si>
  <si>
    <t>Quería saber los precios por mayor de humidificadores y sus esencias</t>
  </si>
  <si>
    <t>doris del valle centurion</t>
  </si>
  <si>
    <t>centuriondorisdelvalle5@gmail.com</t>
  </si>
  <si>
    <t>humificadotes</t>
  </si>
  <si>
    <t>Vilma Acosta</t>
  </si>
  <si>
    <t>irisvictoriaacosta@hotmail.com</t>
  </si>
  <si>
    <t>sahumerios humificadores</t>
  </si>
  <si>
    <t>Verónica Yanina Arzuaga</t>
  </si>
  <si>
    <t>veroarzuaga19@gmail.com</t>
  </si>
  <si>
    <t>Pedro Fernandez</t>
  </si>
  <si>
    <t>parmandofernandez@gmail.com</t>
  </si>
  <si>
    <t>Humificadores</t>
  </si>
  <si>
    <t>Pablo Daniel Kamada</t>
  </si>
  <si>
    <t>monetae302@gmail.com</t>
  </si>
  <si>
    <t>bazar e iluminación. Accesorios del hogar</t>
  </si>
  <si>
    <t>Gabriela Pérez basile</t>
  </si>
  <si>
    <t>consorciostorre2@gmail.com</t>
  </si>
  <si>
    <t>Daniel Alcocedo</t>
  </si>
  <si>
    <t>danenriq@hotmail.com</t>
  </si>
  <si>
    <t>Nicolás Lopez</t>
  </si>
  <si>
    <t>lopez.market19@gmail.com</t>
  </si>
  <si>
    <t>Bazar / Deco</t>
  </si>
  <si>
    <t>Estelar</t>
  </si>
  <si>
    <t>carlanoelib@gmail.com</t>
  </si>
  <si>
    <t>En los difusores</t>
  </si>
  <si>
    <t>Lorena</t>
  </si>
  <si>
    <t>escrivalorenarut@gmail.com</t>
  </si>
  <si>
    <t>Saphirus Avelimp fragancias</t>
  </si>
  <si>
    <t>saphirusavelimp@gmail.com</t>
  </si>
  <si>
    <t>la fabrica</t>
  </si>
  <si>
    <t>sharpy_2005@hotmail.com</t>
  </si>
  <si>
    <t>Deco y humidificador</t>
  </si>
  <si>
    <t>Luzlila Hidalgo</t>
  </si>
  <si>
    <t>hidalgo27luz@gmail.com</t>
  </si>
  <si>
    <t>Êvanah de luz</t>
  </si>
  <si>
    <t>Humidificadores, lámparas led.</t>
  </si>
  <si>
    <t>Wanda Jara</t>
  </si>
  <si>
    <t>wandajara07@hotmail.com</t>
  </si>
  <si>
    <t>Mercedes Edit Palacio</t>
  </si>
  <si>
    <t>mechiedit@hotmail.com</t>
  </si>
  <si>
    <t>La Ayee Ara</t>
  </si>
  <si>
    <t>ayelenbandaa@gmail.com</t>
  </si>
  <si>
    <t>Hhhj</t>
  </si>
  <si>
    <t>Sandra Chiacchiari</t>
  </si>
  <si>
    <t>sanchiacchiari@gimel.com</t>
  </si>
  <si>
    <t>umificadores</t>
  </si>
  <si>
    <t>Raquel Villablanca</t>
  </si>
  <si>
    <t>raquelvillablanca@hotmail.com</t>
  </si>
  <si>
    <t>humidificadores</t>
  </si>
  <si>
    <t>Vanesa Alejandra</t>
  </si>
  <si>
    <t>tomi10alarcon@gmail.com</t>
  </si>
  <si>
    <t>Mix...</t>
  </si>
  <si>
    <t>Daniel Quiroga</t>
  </si>
  <si>
    <t>elpicha134@gmail.com</t>
  </si>
  <si>
    <t>Maria Eugenia Mole</t>
  </si>
  <si>
    <t>cuervoalejandro06@gmail.com.ar</t>
  </si>
  <si>
    <t>humificadores , velas, otros</t>
  </si>
  <si>
    <t>Ali Arnautein</t>
  </si>
  <si>
    <t>aliarnautein@live.com.ar</t>
  </si>
  <si>
    <t>Debby Zelarayan</t>
  </si>
  <si>
    <t>debb.zell@gmail.com</t>
  </si>
  <si>
    <t>Decoración hogar</t>
  </si>
  <si>
    <t>Augusto Ucciardello</t>
  </si>
  <si>
    <t>augustoucciardello1@gmail.com</t>
  </si>
  <si>
    <t>Tender vertical</t>
  </si>
  <si>
    <t>Yan Zta</t>
  </si>
  <si>
    <t>ninacristofori@gmail.com</t>
  </si>
  <si>
    <t>H</t>
  </si>
  <si>
    <t>Lorena Fernanda Twaska</t>
  </si>
  <si>
    <t>lorenatwaska@hotmail.com</t>
  </si>
  <si>
    <t>Melissa López</t>
  </si>
  <si>
    <t>jaz160407@hotmail.com</t>
  </si>
  <si>
    <t>De todo</t>
  </si>
  <si>
    <t>Soledad Villalva</t>
  </si>
  <si>
    <t>lunacopa31@gmail.com</t>
  </si>
  <si>
    <t>Humificador aromas</t>
  </si>
  <si>
    <t>Pablo Gustavo Portillo</t>
  </si>
  <si>
    <t>pablyto18@gmail.com</t>
  </si>
  <si>
    <t>humificadores</t>
  </si>
  <si>
    <t>Mariana Gabriela Mendieta</t>
  </si>
  <si>
    <t>lechu7891@hotmail.com</t>
  </si>
  <si>
    <t>veo todo,</t>
  </si>
  <si>
    <t>Yamile Samanta Garino</t>
  </si>
  <si>
    <t>yamigarino@hotmail.com</t>
  </si>
  <si>
    <t>Adela Roxana Molina</t>
  </si>
  <si>
    <t>molinaadelaroxana@gmail.com</t>
  </si>
  <si>
    <t>Humidificadores esencias decoración</t>
  </si>
  <si>
    <t>Cecilia Benitez</t>
  </si>
  <si>
    <t>ceciliabeatrizbenitez@gmail.com</t>
  </si>
  <si>
    <t>Lorena Quaglini</t>
  </si>
  <si>
    <t>lorenafernandaquaglini@gmail.com</t>
  </si>
  <si>
    <t>Humidificadores de 300 cc hasta 1 litro</t>
  </si>
  <si>
    <t>Maria Paula Ibarra</t>
  </si>
  <si>
    <t>pau18_2@hotmail.com</t>
  </si>
  <si>
    <t>Sabrina Rodríguez</t>
  </si>
  <si>
    <t>sabrinaregis_81@yahoo.com.ar</t>
  </si>
  <si>
    <t>Heena c</t>
  </si>
  <si>
    <t>heenacchainani@gmail.com</t>
  </si>
  <si>
    <t>Vukman Cris</t>
  </si>
  <si>
    <t>cristinavukman87@gmail.com</t>
  </si>
  <si>
    <t>vi solo los unificadores no se que más tienen</t>
  </si>
  <si>
    <t>Martina Tabilo</t>
  </si>
  <si>
    <t>martinatabilo19@gmail.com</t>
  </si>
  <si>
    <t>Lamparas y otros articuos decorativos</t>
  </si>
  <si>
    <t>Omar Hadid</t>
  </si>
  <si>
    <t>elcairoaroma@gmail.com</t>
  </si>
  <si>
    <t>Barbara Cayunir</t>
  </si>
  <si>
    <t>aromnqn@gmail.com</t>
  </si>
  <si>
    <t>Laura viviana hoyos</t>
  </si>
  <si>
    <t>lauviviana245@gmail.com</t>
  </si>
  <si>
    <t>difusión</t>
  </si>
  <si>
    <t>Sool Ledesma</t>
  </si>
  <si>
    <t>solledesmaestefania2023@gmail.com</t>
  </si>
  <si>
    <t>Difusores</t>
  </si>
  <si>
    <t>Mi Alís</t>
  </si>
  <si>
    <t>serviciosmisalis@gmail.com</t>
  </si>
  <si>
    <t>Silvana Alem</t>
  </si>
  <si>
    <t>silvana_alem@hotmail.com</t>
  </si>
  <si>
    <t>Toda la web</t>
  </si>
  <si>
    <t>Celebration Time</t>
  </si>
  <si>
    <t>celebrationtime2019@gmail.com</t>
  </si>
  <si>
    <t>Ana Medina</t>
  </si>
  <si>
    <t>caianam@hotmail.com</t>
  </si>
  <si>
    <t>bazar y Deco</t>
  </si>
  <si>
    <t>Ma Isabel Valdez</t>
  </si>
  <si>
    <t>marisabelvaldez8@gmail.com</t>
  </si>
  <si>
    <t>Veronica Zapata</t>
  </si>
  <si>
    <t>vsz-74@hotmail.com</t>
  </si>
  <si>
    <t>Cesar Diaz</t>
  </si>
  <si>
    <t>cd03562@gmail.com</t>
  </si>
  <si>
    <t>ahumadores</t>
  </si>
  <si>
    <t>Carlos Zabala</t>
  </si>
  <si>
    <t>czabalaolivares@gmail.com</t>
  </si>
  <si>
    <t>Alejandra González</t>
  </si>
  <si>
    <t>mariaalejandrag700@gmail.com</t>
  </si>
  <si>
    <t>Beto Trafi</t>
  </si>
  <si>
    <t>trafi07@yahoo.com.ar</t>
  </si>
  <si>
    <t>aromatizadores</t>
  </si>
  <si>
    <t>Gonzalo Arín</t>
  </si>
  <si>
    <t>gonzalo.laboral@live.com</t>
  </si>
  <si>
    <t>.</t>
  </si>
  <si>
    <t>Laura Cecilia Pioli</t>
  </si>
  <si>
    <t>laurapioli@gmail.com</t>
  </si>
  <si>
    <t>Catálogo disponible</t>
  </si>
  <si>
    <t>Maria Alejandra Videla</t>
  </si>
  <si>
    <t>alejandra.videla28@yahoo.com.ar</t>
  </si>
  <si>
    <t>Andrea Fabiana Bordon</t>
  </si>
  <si>
    <t>bordonschmidt@hotmail.com</t>
  </si>
  <si>
    <t>Novedades</t>
  </si>
  <si>
    <t>ms indumentaria y accesorios</t>
  </si>
  <si>
    <t>monicasegura990@gmail.com</t>
  </si>
  <si>
    <t>Regalería</t>
  </si>
  <si>
    <t>Armando Damián</t>
  </si>
  <si>
    <t>kuhnarmando6@gmail.com</t>
  </si>
  <si>
    <t>Sol Gonzalez</t>
  </si>
  <si>
    <t>soleg8_99@hotmail.com</t>
  </si>
  <si>
    <t>Elena Berger</t>
  </si>
  <si>
    <t>bergerelenabeatriz@gmail.com</t>
  </si>
  <si>
    <t>deco</t>
  </si>
  <si>
    <t>Estilo&amp;Home</t>
  </si>
  <si>
    <t>romi_pao2809@hotmail.com</t>
  </si>
  <si>
    <t>Stella Maris Puricelli</t>
  </si>
  <si>
    <t>directorio3550@gmail.com</t>
  </si>
  <si>
    <t>Gustavo Vassarotto</t>
  </si>
  <si>
    <t>gustavovassarotto@gmail.com</t>
  </si>
  <si>
    <t>bazar</t>
  </si>
  <si>
    <t>Escrupulos Indumentaria</t>
  </si>
  <si>
    <t>ericabolzico2@gmail.com</t>
  </si>
  <si>
    <t>Agustin Postai</t>
  </si>
  <si>
    <t>agustin.postai@gmail.com</t>
  </si>
  <si>
    <t>Heidi Pedace</t>
  </si>
  <si>
    <t>haydee9946@hotmail.com</t>
  </si>
  <si>
    <t>Cosas novedosaw ya que vendo todo limpieza</t>
  </si>
  <si>
    <t>Jorgelina Grafia</t>
  </si>
  <si>
    <t>jorgelinagrafia_78@hotmail.com</t>
  </si>
  <si>
    <t>Humificadores decoración</t>
  </si>
  <si>
    <t>Andrea Monzon Consultora Independiente Just</t>
  </si>
  <si>
    <t>andreamonzon338@gmail.coma</t>
  </si>
  <si>
    <t>difusores, nivedades</t>
  </si>
  <si>
    <t>Guillermo Totaro DormiBien</t>
  </si>
  <si>
    <t>guillermototaro@gmail.com</t>
  </si>
  <si>
    <t>Vanesa Vanina Roh</t>
  </si>
  <si>
    <t>vaneroh06@hotmail.com</t>
  </si>
  <si>
    <t>Claudia marisa echeverria</t>
  </si>
  <si>
    <t>marisaclaudiaecheverria@gmail.com</t>
  </si>
  <si>
    <t>Varios</t>
  </si>
  <si>
    <t>Esteban Vega</t>
  </si>
  <si>
    <t>estebanmanuelvega89@gmail.com</t>
  </si>
  <si>
    <t>Tania Audagna</t>
  </si>
  <si>
    <t>taniaaudagna@hotmail.com</t>
  </si>
  <si>
    <t>los difusores</t>
  </si>
  <si>
    <t>Bazarr Delsur Importado</t>
  </si>
  <si>
    <t>Bruno Arosteguichar</t>
  </si>
  <si>
    <t>brunoarosteguichar@gmail.com</t>
  </si>
  <si>
    <t>Mangata</t>
  </si>
  <si>
    <t>dayvillegas91@hotmail.com</t>
  </si>
  <si>
    <t>Gabii_Anti♡</t>
  </si>
  <si>
    <t>gaby_antileo20@hotmail.com.ar</t>
  </si>
  <si>
    <t>Bazar</t>
  </si>
  <si>
    <t>Sonia Ramirez Maturano</t>
  </si>
  <si>
    <t>soniamaturano90@yahoo.com</t>
  </si>
  <si>
    <t>humificadores y bazar</t>
  </si>
  <si>
    <t>Noelia Soledad Contreras</t>
  </si>
  <si>
    <t>noecontreras00617@gmail.com</t>
  </si>
  <si>
    <t>humificadores.</t>
  </si>
  <si>
    <t>Maria Elena Pont</t>
  </si>
  <si>
    <t>mariae.pont@yahoo.com.ar</t>
  </si>
  <si>
    <t>Vanesa Ruth Calahonra</t>
  </si>
  <si>
    <t>plasticuer.vrc@gmail.com</t>
  </si>
  <si>
    <t>Alejo Biazzi</t>
  </si>
  <si>
    <t>biazzialejo91@gmail.com</t>
  </si>
  <si>
    <t>variedad de productos</t>
  </si>
  <si>
    <t>Marcha Nordica Ushuaia</t>
  </si>
  <si>
    <t>pablo1969cano@hotmail.com</t>
  </si>
  <si>
    <t>...</t>
  </si>
  <si>
    <t>Lucas Caparra</t>
  </si>
  <si>
    <t>lucas_caparra@hotmail.com</t>
  </si>
  <si>
    <t>Lista de precios por favor</t>
  </si>
  <si>
    <t>lilian</t>
  </si>
  <si>
    <t>sdldlgrd@hotmail.com</t>
  </si>
  <si>
    <t>Perfumeria Libra</t>
  </si>
  <si>
    <t>perfumeriaslibra72@gmail.com</t>
  </si>
  <si>
    <t>Varios Varios</t>
  </si>
  <si>
    <t>Sofi Fabro</t>
  </si>
  <si>
    <t>sofiafabro02@gmail.com</t>
  </si>
  <si>
    <t>Membramax Soluciones</t>
  </si>
  <si>
    <t>fernandoramosmejia@yahoo.com.ar</t>
  </si>
  <si>
    <t>No sé cuáles tienen</t>
  </si>
  <si>
    <t>Sergio Maximiliano Sandez</t>
  </si>
  <si>
    <t>sergiosandez@hotmail.con</t>
  </si>
  <si>
    <t>Información para revender</t>
  </si>
  <si>
    <t>Angelo Ponce</t>
  </si>
  <si>
    <t>nachoignacioponce01@gmail.com</t>
  </si>
  <si>
    <t>humidificador purificador</t>
  </si>
  <si>
    <t>Silvana Pereyra</t>
  </si>
  <si>
    <t>pereyrasilvana318@gmail.com</t>
  </si>
  <si>
    <t>Ana Luján</t>
  </si>
  <si>
    <t>anamarialujan1@gmail.com</t>
  </si>
  <si>
    <t>artículos de cocina</t>
  </si>
  <si>
    <t>Valeria Galeano</t>
  </si>
  <si>
    <t>valeriagaleano27@gmail.com</t>
  </si>
  <si>
    <t>polirrubro</t>
  </si>
  <si>
    <t>Carla Farias</t>
  </si>
  <si>
    <t>carlafarias_16@hotmail.com</t>
  </si>
  <si>
    <t>Regaleria librería bazar decoración</t>
  </si>
  <si>
    <t>Marisol Pullol</t>
  </si>
  <si>
    <t>estefania.m.pullol@hotmail.com</t>
  </si>
  <si>
    <t>Articulos en general oara el hogar</t>
  </si>
  <si>
    <t>B</t>
  </si>
  <si>
    <t>Yolanda Viegas Da Palma</t>
  </si>
  <si>
    <t>yolanda0473@gmail.com</t>
  </si>
  <si>
    <t>Maria Del Carmen Marita Gil</t>
  </si>
  <si>
    <t>maritagil88@gmail.com</t>
  </si>
  <si>
    <t>Variedad</t>
  </si>
  <si>
    <t>Maria jorgelina</t>
  </si>
  <si>
    <t>jorgelinaamaya2015@gmail.com</t>
  </si>
  <si>
    <t>Viviana Dominguez</t>
  </si>
  <si>
    <t>vidiminguez0@gmail.com</t>
  </si>
  <si>
    <t>me gustaría empezar a vender de a poco soy nueva y quiero comenzar de a poco</t>
  </si>
  <si>
    <t>silvia ester mansilla</t>
  </si>
  <si>
    <t>silvi_choly_2009@hotmail.com</t>
  </si>
  <si>
    <t>bazar, humidificadores</t>
  </si>
  <si>
    <t>Damian Tonio</t>
  </si>
  <si>
    <t>damianaguilera36036@gmail.com</t>
  </si>
  <si>
    <t>Humidificadores y todo referido a limpieza y perfumería</t>
  </si>
  <si>
    <t>Saphirus Nan</t>
  </si>
  <si>
    <t>nancyforesi255@gmail.com</t>
  </si>
  <si>
    <t>Gabriela Acri</t>
  </si>
  <si>
    <t>bettianmary@hotmail.com</t>
  </si>
  <si>
    <t>Hola todos</t>
  </si>
  <si>
    <t>Naty Grioni</t>
  </si>
  <si>
    <t>grioni33@gmail.com</t>
  </si>
  <si>
    <t>Flaviia Pedrinii</t>
  </si>
  <si>
    <t>fla_lucho_8@hotmail.com</t>
  </si>
  <si>
    <t>@dejame_colgada</t>
  </si>
  <si>
    <t>nadalmarce50@gmail.com</t>
  </si>
  <si>
    <t>CIRSA</t>
  </si>
  <si>
    <t>marielvillacorta38@gmail.com</t>
  </si>
  <si>
    <t>Campaña de Clientes potenciales</t>
  </si>
  <si>
    <t>Milton Vidal</t>
  </si>
  <si>
    <t>miltonvidal80@gmail.com</t>
  </si>
  <si>
    <t>Todo</t>
  </si>
  <si>
    <t>Monica Centurion</t>
  </si>
  <si>
    <t>maritamura55@gmail.com</t>
  </si>
  <si>
    <t>baZar</t>
  </si>
  <si>
    <t>Vanesa Moyano</t>
  </si>
  <si>
    <t>monikka.moyano.775@gmail.com</t>
  </si>
  <si>
    <t>Quisiera ver</t>
  </si>
  <si>
    <t>Alejandra Ruiz</t>
  </si>
  <si>
    <t>alejandra.ruiz@live.com.ar</t>
  </si>
  <si>
    <t>PRODUCTOS DE IMPOTRTACION: BAZAR-DECO-HOGAR</t>
  </si>
  <si>
    <t>Maria Lorena Badino</t>
  </si>
  <si>
    <t>marialorenabadino@hotmail.com</t>
  </si>
  <si>
    <t>PyL_fragancias Bagués</t>
  </si>
  <si>
    <t>nancynoemilucero@hotmail.com.ar</t>
  </si>
  <si>
    <t>Humificadores varios</t>
  </si>
  <si>
    <t>Florencia García</t>
  </si>
  <si>
    <t>hgarciamateriales@gmail.com</t>
  </si>
  <si>
    <t>Hola nos interesa una variedad de productos para ferretería gracias</t>
  </si>
  <si>
    <t>Mayra Julieta Gonzalez</t>
  </si>
  <si>
    <t>piojogordito@gmail.com</t>
  </si>
  <si>
    <t>Alejandra Acevedo</t>
  </si>
  <si>
    <t>alejandrabacevedo32@gmail.com</t>
  </si>
  <si>
    <t>Javier Lunge</t>
  </si>
  <si>
    <t>lungejavier@hotmail.com</t>
  </si>
  <si>
    <t>humifif</t>
  </si>
  <si>
    <t>Patricia Cigarra</t>
  </si>
  <si>
    <t>patriciacigarra@gmail.com</t>
  </si>
  <si>
    <t>varios bazar</t>
  </si>
  <si>
    <t>Deolinda</t>
  </si>
  <si>
    <t>deito1672@gmail.com</t>
  </si>
  <si>
    <t>laubrey</t>
  </si>
  <si>
    <t>laurabreyaue@gmail.com</t>
  </si>
  <si>
    <t>к α я є и</t>
  </si>
  <si>
    <t>karenmino350@gmail.com</t>
  </si>
  <si>
    <t>En todos a</t>
  </si>
  <si>
    <t>LaMonona Despensa</t>
  </si>
  <si>
    <t>lamononadespensa@gmail.com</t>
  </si>
  <si>
    <t>Jorge Cerezo</t>
  </si>
  <si>
    <t>cerezojorge@yahoo.com.ar</t>
  </si>
  <si>
    <t>Productos de aromatizacion ambiental</t>
  </si>
  <si>
    <t>Carnes Premium J.R.M.</t>
  </si>
  <si>
    <t>juanmaidana507@gmail.com</t>
  </si>
  <si>
    <t>El humidificador</t>
  </si>
  <si>
    <t>Silvina Galarza</t>
  </si>
  <si>
    <t>silgalarza78@gmail.com</t>
  </si>
  <si>
    <t>Dario Carmona</t>
  </si>
  <si>
    <t>carmonadarioeduardo22@gmail.com</t>
  </si>
  <si>
    <t>Judit Malvestiti</t>
  </si>
  <si>
    <t>jomalvestiti@hotmail.com</t>
  </si>
  <si>
    <t>Humificadores y esencias</t>
  </si>
  <si>
    <t>Sebastian Ramiro Bazan Ortiz</t>
  </si>
  <si>
    <t>sebastian_bazan@hotmail.com.ar</t>
  </si>
  <si>
    <t>Queria ver un surtido general. Si pueden envisr algun catalogo seria ideal</t>
  </si>
  <si>
    <t>Humberto Nogër</t>
  </si>
  <si>
    <t>humbertognoguer@gmail.com</t>
  </si>
  <si>
    <t>Mix de todo</t>
  </si>
  <si>
    <t>Masoterapeuta Veronica</t>
  </si>
  <si>
    <t>retinaculoinferior@gmail.com</t>
  </si>
  <si>
    <t>Alejandro Mario Contrera</t>
  </si>
  <si>
    <t>AlejandroContrera39@gmail.com</t>
  </si>
  <si>
    <t>busco ampliar mi reventa .. cosas del hogar un poco..pero lo q más busco son accesorios de celular y tabletas</t>
  </si>
  <si>
    <t>Aromas &amp; Diseño</t>
  </si>
  <si>
    <t>Valentinafp@hotmail.com</t>
  </si>
  <si>
    <t>K-ro Gallo</t>
  </si>
  <si>
    <t>carogottero@hotmail.com</t>
  </si>
  <si>
    <t>Decoración, productos novedosos</t>
  </si>
  <si>
    <t>Ramon Florencio Diaz</t>
  </si>
  <si>
    <t>raflodiaz@hotmail.com</t>
  </si>
  <si>
    <t>Decoracion</t>
  </si>
  <si>
    <t>Maximo molina</t>
  </si>
  <si>
    <t>mwaltermaximiliano@gmail.com</t>
  </si>
  <si>
    <t>nico</t>
  </si>
  <si>
    <t>nicolasvar141@hotmail.com</t>
  </si>
  <si>
    <t>Variedad en bazar y limpieza</t>
  </si>
  <si>
    <t>aromas y bienestar</t>
  </si>
  <si>
    <t>saphiruscordoba@gmail.com</t>
  </si>
  <si>
    <t>Alma Deco Hogar detalles que enamoran</t>
  </si>
  <si>
    <t>alma.deco.detalles@gmail.com</t>
  </si>
  <si>
    <t>Humidificadores sin filtro</t>
  </si>
  <si>
    <t>Aldana Don Don</t>
  </si>
  <si>
    <t>elizabethaldanadon@gmail.come</t>
  </si>
  <si>
    <t>Estoy interesada en lo que es decoración y bazar</t>
  </si>
  <si>
    <t>Maxi Luna</t>
  </si>
  <si>
    <t>walterempesas16@gmail.com</t>
  </si>
  <si>
    <t>Marian Nicolorich</t>
  </si>
  <si>
    <t>alma82_3@hotmail.com</t>
  </si>
  <si>
    <t>En decoración y humidificador</t>
  </si>
  <si>
    <t>Alicia</t>
  </si>
  <si>
    <t>alvezalicia2@gmail.com</t>
  </si>
  <si>
    <t>Deco</t>
  </si>
  <si>
    <t>Aldo Melo</t>
  </si>
  <si>
    <t>Ruben Francisco Garcia Linarez</t>
  </si>
  <si>
    <t>rubenlinarez10@gmail.com</t>
  </si>
  <si>
    <t>todo de bazar</t>
  </si>
  <si>
    <t>Carlos Alonso</t>
  </si>
  <si>
    <t>larcossolano@gmail.com</t>
  </si>
  <si>
    <t>Cocina otros</t>
  </si>
  <si>
    <t>Veronica Gomez</t>
  </si>
  <si>
    <t>vero_mimosa40@hotmail.com</t>
  </si>
  <si>
    <t>Pablo Ezequiel Avila</t>
  </si>
  <si>
    <t>maycol_rp@hotmail.com</t>
  </si>
  <si>
    <t>en general</t>
  </si>
  <si>
    <t>Caro Cires</t>
  </si>
  <si>
    <t>carocires@gmail.com</t>
  </si>
  <si>
    <t>Deco hogar y humis</t>
  </si>
  <si>
    <t>Julieta Pino</t>
  </si>
  <si>
    <t>julipino17@gmail.com</t>
  </si>
  <si>
    <t>deco para el hogar</t>
  </si>
  <si>
    <t>Sole Moreno</t>
  </si>
  <si>
    <t>pecosadeco@gmail.com</t>
  </si>
  <si>
    <t>Pauli Petit</t>
  </si>
  <si>
    <t>papaya1907@gmail.com</t>
  </si>
  <si>
    <t>Mayra Giménez</t>
  </si>
  <si>
    <t>maysol_88@hotmail.com</t>
  </si>
  <si>
    <t>laura patricia campos</t>
  </si>
  <si>
    <t>pablo_javier_suarez@hotmail.com</t>
  </si>
  <si>
    <t>Vanesa Ivonne Demianiuk</t>
  </si>
  <si>
    <t>vanesademianiuk@hotmail.com</t>
  </si>
  <si>
    <t>todo</t>
  </si>
  <si>
    <t>Albert Micaela</t>
  </si>
  <si>
    <t>mica.albert.15@gmail.com</t>
  </si>
  <si>
    <t>Juguetería</t>
  </si>
  <si>
    <t>Adriana Copertino</t>
  </si>
  <si>
    <t>acopertino@yahoo.com.ar</t>
  </si>
  <si>
    <t>Alicia Beatriz Gagliardi</t>
  </si>
  <si>
    <t>abgagliardi@gmail.com</t>
  </si>
  <si>
    <t>Humidificadores y otros</t>
  </si>
  <si>
    <t>Distribuidora Mega Clean</t>
  </si>
  <si>
    <t>Distribuidora@megaclean.com</t>
  </si>
  <si>
    <t>Nadar y humidificadores</t>
  </si>
  <si>
    <t>Guillermina Camio</t>
  </si>
  <si>
    <t>guillermamusa@hotmail.com</t>
  </si>
  <si>
    <t>humidificadores, tacho para el auto</t>
  </si>
  <si>
    <t>Marcelo schmidt</t>
  </si>
  <si>
    <t>marcelo.schmidt214@gmail.com</t>
  </si>
  <si>
    <t>Desi Uroz</t>
  </si>
  <si>
    <t>desiuroz@gmail.com</t>
  </si>
  <si>
    <t>Difusor</t>
  </si>
  <si>
    <t>Nico Bertolin</t>
  </si>
  <si>
    <t>nicolasbertolin5@gmail.com</t>
  </si>
  <si>
    <t>Mirta Graciela Loiacono</t>
  </si>
  <si>
    <t>mirtagl1610@yahoo.com.ar</t>
  </si>
  <si>
    <t>Elu Arenas</t>
  </si>
  <si>
    <t>eluarsm@hotmail.com</t>
  </si>
  <si>
    <t>Agustina D. Slulmeister</t>
  </si>
  <si>
    <t>babuymely@gmail.com</t>
  </si>
  <si>
    <t>Lauti</t>
  </si>
  <si>
    <t>xdlautygutierrez17@icloud.com</t>
  </si>
  <si>
    <t>Quiero saber de todo un poco</t>
  </si>
  <si>
    <t>Diana torres</t>
  </si>
  <si>
    <t>mirasol04@hotmail.com</t>
  </si>
  <si>
    <t>difusore</t>
  </si>
  <si>
    <t>Eli Eli Puente Luz</t>
  </si>
  <si>
    <t>riquelme_eli@hotmail.com</t>
  </si>
  <si>
    <t>Victoria Carretero</t>
  </si>
  <si>
    <t>victoria.carreteroolguin@gmail.com</t>
  </si>
  <si>
    <t>Quiero ver que puede servir a mi cuenta</t>
  </si>
  <si>
    <t>Nazareno Gonzalez</t>
  </si>
  <si>
    <t>thor69ar@gmail.com</t>
  </si>
  <si>
    <t>Andrea Cuerpo</t>
  </si>
  <si>
    <t>cuerpoandrea@gmail.com</t>
  </si>
  <si>
    <t>Deco y humidificadores</t>
  </si>
  <si>
    <t>Erika Zain El Din</t>
  </si>
  <si>
    <t>efabianazain@gmail.com</t>
  </si>
  <si>
    <t>linea eco</t>
  </si>
  <si>
    <t>Fabian Gramajo</t>
  </si>
  <si>
    <t>fabiangramajo69@gmail.com</t>
  </si>
  <si>
    <t>Humificadores precio</t>
  </si>
  <si>
    <t>Sand Saram</t>
  </si>
  <si>
    <t>sp.sanpross@gmail.com</t>
  </si>
  <si>
    <t>en todos</t>
  </si>
  <si>
    <t>Angeles Tolaba</t>
  </si>
  <si>
    <t>angelestolaba96@gmail.com</t>
  </si>
  <si>
    <t>V</t>
  </si>
  <si>
    <t>Claudio Reniero</t>
  </si>
  <si>
    <t>reniero_claudio@hotmail.com</t>
  </si>
  <si>
    <t>soy distribuidor</t>
  </si>
  <si>
    <t>Leo Graton</t>
  </si>
  <si>
    <t>Gratonlm@gmail.com</t>
  </si>
  <si>
    <t>Leonardo Abalsamo</t>
  </si>
  <si>
    <t>leonardodanielabalsamo@gmail.com</t>
  </si>
  <si>
    <t>bazar principalmente</t>
  </si>
  <si>
    <t>Mariana da Luz</t>
  </si>
  <si>
    <t>marybenjadaluz+art@gmail.com</t>
  </si>
  <si>
    <t>surtido</t>
  </si>
  <si>
    <t>Debora Reboredo</t>
  </si>
  <si>
    <t>crisr1979.dr@gmail.com</t>
  </si>
  <si>
    <t>quería saber el precio mayorista de la variedad de productos, compra minima y envíos a zona norte</t>
  </si>
  <si>
    <t>Osvaldo ulloa</t>
  </si>
  <si>
    <t>osvaldoulloa744@gmail.com</t>
  </si>
  <si>
    <t>loncheras y tapers</t>
  </si>
  <si>
    <t>Fʀᴀɴᴄᴏ Pᴀʀᴇᴅ</t>
  </si>
  <si>
    <t>francopared12@gmail.com</t>
  </si>
  <si>
    <t>En humificadores y accesorios tecnologicos</t>
  </si>
  <si>
    <t>Confetti multirubro</t>
  </si>
  <si>
    <t>isabeldominguez600@gmail.com</t>
  </si>
  <si>
    <t>Daniela Dangelo</t>
  </si>
  <si>
    <t>daniidangelo@yahoo.com</t>
  </si>
  <si>
    <t>regalería bazar</t>
  </si>
  <si>
    <t>Mariela Caviglia</t>
  </si>
  <si>
    <t>malecaviglia@gmail.com</t>
  </si>
  <si>
    <t>En todos</t>
  </si>
  <si>
    <t>Andrea Juncos</t>
  </si>
  <si>
    <t>andre-sergio72@hotmail.com</t>
  </si>
  <si>
    <t>decoración</t>
  </si>
  <si>
    <t>Silvia Marcela Giusti</t>
  </si>
  <si>
    <t>marcelagiusti@gmail.com</t>
  </si>
  <si>
    <t>difusores y Fragancias</t>
  </si>
  <si>
    <t>Marcelo Mujica</t>
  </si>
  <si>
    <t>marcelomujica@hotmail.com</t>
  </si>
  <si>
    <t>Flor Frieyro</t>
  </si>
  <si>
    <t>florgrint@gmail.com</t>
  </si>
  <si>
    <t>quiero ver el catálogo</t>
  </si>
  <si>
    <t>Debora Alvarez</t>
  </si>
  <si>
    <t>deboraanahia@gmail.com</t>
  </si>
  <si>
    <t>variados</t>
  </si>
  <si>
    <t>Valeria Navarro</t>
  </si>
  <si>
    <t>valitanav@hotmail.com</t>
  </si>
  <si>
    <t>Me interesa que me asesoren en los productos con más salida para armar una tienda online. Gracias</t>
  </si>
  <si>
    <t>Agustina Bollini</t>
  </si>
  <si>
    <t>agusbollini@hotmail.com</t>
  </si>
  <si>
    <t>Todo de deco</t>
  </si>
  <si>
    <t>Eugenia</t>
  </si>
  <si>
    <t>alesa.quina@gmail.com</t>
  </si>
  <si>
    <t>En todo variedad</t>
  </si>
  <si>
    <t>MISTIKA_Tienda_Ar</t>
  </si>
  <si>
    <t>fletesycontainers@gmail.com</t>
  </si>
  <si>
    <t>Many</t>
  </si>
  <si>
    <t>andres toribio</t>
  </si>
  <si>
    <t>art.tlopez.2025@gmail.com</t>
  </si>
  <si>
    <t>en todo</t>
  </si>
  <si>
    <t>Walter</t>
  </si>
  <si>
    <t>walterfabianoviedo2@gmail.com</t>
  </si>
  <si>
    <t>linea bazar, hogar</t>
  </si>
  <si>
    <t>Sol Angel Y Miasol</t>
  </si>
  <si>
    <t>evelynastete2009@hotmail.com</t>
  </si>
  <si>
    <t>Benjamin Fernandez</t>
  </si>
  <si>
    <t>benjafernandez_95@hotmail.com</t>
  </si>
  <si>
    <t>Mix de productos</t>
  </si>
  <si>
    <t>Damian Angel Maroto</t>
  </si>
  <si>
    <t>rodarmdq@gmail.com</t>
  </si>
  <si>
    <t>quiero saber lo que ofrecen</t>
  </si>
  <si>
    <t>Francisco Alonso</t>
  </si>
  <si>
    <t>franciscoalonso238@gmail.com</t>
  </si>
  <si>
    <t>Vianda hermética</t>
  </si>
  <si>
    <t>Florencia Giovagnoli</t>
  </si>
  <si>
    <t>fgiovagnoli249@gmail.com</t>
  </si>
  <si>
    <t>En lo de bazar y decoración</t>
  </si>
  <si>
    <t>Maria Lorena Aparo</t>
  </si>
  <si>
    <t>aparolorena@gmail.com</t>
  </si>
  <si>
    <t>Cocina</t>
  </si>
  <si>
    <t>Nico Carballo</t>
  </si>
  <si>
    <t>nicolas_yoni_el7@hotmail.com</t>
  </si>
  <si>
    <t>Bazar General Rodríguez</t>
  </si>
  <si>
    <t>ludmilapedroso9@gmail.com</t>
  </si>
  <si>
    <t>Martin</t>
  </si>
  <si>
    <t>carrascoveramartin@gmail.com</t>
  </si>
  <si>
    <t>Miguel Guzman</t>
  </si>
  <si>
    <t>mguzman1205@gmail.com</t>
  </si>
  <si>
    <t>set de utensilios</t>
  </si>
  <si>
    <t>RODRIGO FREISZTAV</t>
  </si>
  <si>
    <t>rofreisztav74@yahoo.com.ar</t>
  </si>
  <si>
    <t>mix completo</t>
  </si>
  <si>
    <t>Guido Vannucci</t>
  </si>
  <si>
    <t>guidovannu@gmail.com</t>
  </si>
  <si>
    <t>Ver el catálogo</t>
  </si>
  <si>
    <t>Laura Cappellini</t>
  </si>
  <si>
    <t>lcc2412@gmail.com</t>
  </si>
  <si>
    <t>Bettina Quiquinto</t>
  </si>
  <si>
    <t>escuder_carlos@live.com.ar</t>
  </si>
  <si>
    <t>Lo de Rama</t>
  </si>
  <si>
    <t>loderama143@gmail.com</t>
  </si>
  <si>
    <t>Buen día. Tengo un comercio de artículos de limpieza. Y afines. Estoy en la búsqueda de productos relacionados con el rubro. Gracias</t>
  </si>
  <si>
    <t>Maria Teresa Espinosa</t>
  </si>
  <si>
    <t>teresapaloma33@hotmail.com</t>
  </si>
  <si>
    <t>Hola</t>
  </si>
  <si>
    <t>Milagros Pacheco</t>
  </si>
  <si>
    <t>pachecomilagros779@gmail.com</t>
  </si>
  <si>
    <t>Bazar de todo un poco</t>
  </si>
  <si>
    <t>marcela Rodriguez</t>
  </si>
  <si>
    <t>rodriguezmar676@gmail.com</t>
  </si>
  <si>
    <t>utensilios</t>
  </si>
  <si>
    <t>Maria Paula Di - Lider JUST</t>
  </si>
  <si>
    <t>grupotreboljust@gmail.com</t>
  </si>
  <si>
    <t>HUMIFICADORES</t>
  </si>
  <si>
    <t>Federico Nogueira</t>
  </si>
  <si>
    <t>fede-nogueira@hotmail.com</t>
  </si>
  <si>
    <t>Yiting Li</t>
  </si>
  <si>
    <t>liyiting1119@yahoo.com.ar</t>
  </si>
  <si>
    <t>Alma &amp; Hogar</t>
  </si>
  <si>
    <t>daia_pesce@hotmail.com</t>
  </si>
  <si>
    <t>Yy</t>
  </si>
  <si>
    <t>Maximiliano</t>
  </si>
  <si>
    <t>asesorcomercial1975@gmail.com</t>
  </si>
  <si>
    <t>humidificadores , y productos del hogar</t>
  </si>
  <si>
    <t>Nahuel Alvarez</t>
  </si>
  <si>
    <t>nsatrip4560@gmail.com</t>
  </si>
  <si>
    <t>iluminación, tecnología, herramientas</t>
  </si>
  <si>
    <t>D</t>
  </si>
  <si>
    <t>Sabrina Agüero</t>
  </si>
  <si>
    <t>la.bosterita.22@hotmail.com</t>
  </si>
  <si>
    <t>Polirubro Veintidos</t>
  </si>
  <si>
    <t>ale22mb@hotmail.com</t>
  </si>
  <si>
    <t>Consuelo Guala</t>
  </si>
  <si>
    <t>Auditoriainternacg@gmail.com</t>
  </si>
  <si>
    <t>va£u</t>
  </si>
  <si>
    <t>valentino388lopez@gmail.com</t>
  </si>
  <si>
    <t>Todo lo q sea de decoración y ambiente</t>
  </si>
  <si>
    <t>maria luisa montaña</t>
  </si>
  <si>
    <t>marialuisamontana833@gmail.com</t>
  </si>
  <si>
    <t>difusores y aceites al agua</t>
  </si>
  <si>
    <t>Vero Caceres</t>
  </si>
  <si>
    <t>verocaceres361@gmail.com</t>
  </si>
  <si>
    <t>Veronica Canton</t>
  </si>
  <si>
    <t>verocanton80@hotmail.com</t>
  </si>
  <si>
    <t>Daniela Echeverria</t>
  </si>
  <si>
    <t>danielaecheverriaok@gmail.com</t>
  </si>
  <si>
    <t>PuntoyComa</t>
  </si>
  <si>
    <t>noeliabbrening21@gmail.com</t>
  </si>
  <si>
    <t>Hola me interesa los humificadores</t>
  </si>
  <si>
    <t>Mariel Diab</t>
  </si>
  <si>
    <t>marieldiab857@hotmail.com</t>
  </si>
  <si>
    <t>Yamila Maciel</t>
  </si>
  <si>
    <t>yamilapaola3.ym@gmail.com</t>
  </si>
  <si>
    <t>Felipe</t>
  </si>
  <si>
    <t>guevarramelisa04@gmail.com</t>
  </si>
  <si>
    <t>Holistica</t>
  </si>
  <si>
    <t>DULCES AROMAS</t>
  </si>
  <si>
    <t>marisolfielmartinez@gmail.com</t>
  </si>
  <si>
    <t>Nacho Fernandez</t>
  </si>
  <si>
    <t>vapercloudy1@gmail.com</t>
  </si>
  <si>
    <t>Indumentaria y calzado</t>
  </si>
  <si>
    <t>apatanuredes@gmail.com</t>
  </si>
  <si>
    <t>Quería ver todo</t>
  </si>
  <si>
    <t>Juli Veron</t>
  </si>
  <si>
    <t>veronjulia92@gmail.com</t>
  </si>
  <si>
    <t>Hornillos para cera o esencias</t>
  </si>
  <si>
    <t>Limpieza Extrema</t>
  </si>
  <si>
    <t>chachi_4248@hotmail.com</t>
  </si>
  <si>
    <t>Hola, los humidificadores, con las esencias. Gracias. Precio</t>
  </si>
  <si>
    <t>Adri Adriana</t>
  </si>
  <si>
    <t>aespanol@seguridadmutual.com</t>
  </si>
  <si>
    <t>Marcelo Fiel Martínez</t>
  </si>
  <si>
    <t>Carolina Lucero</t>
  </si>
  <si>
    <t>lucerocarolinacecilia@gmail.com</t>
  </si>
  <si>
    <t>quiero ver todo</t>
  </si>
  <si>
    <t>Alejandra Bonacci</t>
  </si>
  <si>
    <t>depaubrial25@gmail.com</t>
  </si>
  <si>
    <t>juan jose silva</t>
  </si>
  <si>
    <t>chinossilva@hotmail.com</t>
  </si>
  <si>
    <t>Gabriel Riccio</t>
  </si>
  <si>
    <t>gabrielricciomdq@yahoo.com.ar</t>
  </si>
  <si>
    <t>Dra Olga R Campos</t>
  </si>
  <si>
    <t>nony_13_6@hotmail.com</t>
  </si>
  <si>
    <t>humedificadores, aromatizadores, lámparas,Deco,etc</t>
  </si>
  <si>
    <t>Caro Sanchez</t>
  </si>
  <si>
    <t>caroltoto660@gmail.com</t>
  </si>
  <si>
    <t>Productos de decoración</t>
  </si>
  <si>
    <t>Leandro Villalba</t>
  </si>
  <si>
    <t>eltaladro_leandro@hotmail.com</t>
  </si>
  <si>
    <t>En humificador y sets de cocina</t>
  </si>
  <si>
    <t>Daniel Portillo</t>
  </si>
  <si>
    <t>scotto241077@gmail.com</t>
  </si>
  <si>
    <t>En ninguno en específico</t>
  </si>
  <si>
    <t>Victor hugo Rodas</t>
  </si>
  <si>
    <t>xvicrod@gmail.com</t>
  </si>
  <si>
    <t>veo todo</t>
  </si>
  <si>
    <t>Elizabeth Adriana Soto</t>
  </si>
  <si>
    <t>eliadrisoto@gmail.com</t>
  </si>
  <si>
    <t>Integrar Bienestar</t>
  </si>
  <si>
    <t>integrartc@gmail.com</t>
  </si>
  <si>
    <t>Soy aromatologa. Me interesa todo lo que sea para difundir aromas en el ambiente</t>
  </si>
  <si>
    <t>Isabel Peralta</t>
  </si>
  <si>
    <t>gaianaturistapt@gmail.com</t>
  </si>
  <si>
    <t>Moldes de silicona, tazas, termómetros</t>
  </si>
  <si>
    <t>Susana jimenez</t>
  </si>
  <si>
    <t>Susanasujimenez@hotmail.com</t>
  </si>
  <si>
    <t>deco/hogar</t>
  </si>
  <si>
    <t>Silvana Bertoni</t>
  </si>
  <si>
    <t>silvanabertoni6@gmail.com</t>
  </si>
  <si>
    <t>Humificador Y varios</t>
  </si>
  <si>
    <t>Luciana Felipe</t>
  </si>
  <si>
    <t>luciana31felipe@gmail.com</t>
  </si>
  <si>
    <t>En un popularidad de artículos</t>
  </si>
  <si>
    <t>Juan Josè Fernàndez</t>
  </si>
  <si>
    <t>juanjose_lalepra@hotmail.com</t>
  </si>
  <si>
    <t>mix</t>
  </si>
  <si>
    <t>LUCAS OLIVERIO</t>
  </si>
  <si>
    <t>lucasmatiasoliverio@gmail.com</t>
  </si>
  <si>
    <t>Me gustaria ver el catalogo y precios por favor</t>
  </si>
  <si>
    <t>Marcia Gabriela Molina</t>
  </si>
  <si>
    <t>patriaysintoniafina@gmail.com</t>
  </si>
  <si>
    <t>Santi De Agostini</t>
  </si>
  <si>
    <t>sda@elderte.com.ar</t>
  </si>
  <si>
    <t>Santiago Nicolas Martin</t>
  </si>
  <si>
    <t>nicosan2009@hotmail.com</t>
  </si>
  <si>
    <t>Productos que puedan anexarse en local de sahumerios. Cómo los humidificadores</t>
  </si>
  <si>
    <t>Joaco Vacaflor</t>
  </si>
  <si>
    <t>joaco10@gmail.com</t>
  </si>
  <si>
    <t>Debora Rincon</t>
  </si>
  <si>
    <t>debora.2222@hotmail.com</t>
  </si>
  <si>
    <t>Alejandra Guerrero</t>
  </si>
  <si>
    <t>alegue9@hotmail.com.ar</t>
  </si>
  <si>
    <t>Malala Store Polirrubro</t>
  </si>
  <si>
    <t>marian.mana.malala@gmail.com</t>
  </si>
  <si>
    <t>Caami Demetrio</t>
  </si>
  <si>
    <t>cami_demetrio@hotmail.com</t>
  </si>
  <si>
    <t>Humidificadores esencias y decoración</t>
  </si>
  <si>
    <t>alejandrasoledadruiz7@gmail.com</t>
  </si>
  <si>
    <t>Julieta Vittar</t>
  </si>
  <si>
    <t>julietavittar@hotmail.com</t>
  </si>
  <si>
    <t>Humidificadores, productos para aromaterapia y artículos de decoración</t>
  </si>
  <si>
    <t>Vero Gime</t>
  </si>
  <si>
    <t>gimenezvero.43@gmail.com</t>
  </si>
  <si>
    <t>Andrea Elisa</t>
  </si>
  <si>
    <t>andreaelisakrawiec@hotmail.com</t>
  </si>
  <si>
    <t>Fredes Trh</t>
  </si>
  <si>
    <t>fredestrh@gmail.com</t>
  </si>
  <si>
    <t>humificadores lam0ara de sal</t>
  </si>
  <si>
    <t>Estela Maria Solis</t>
  </si>
  <si>
    <t>estrelllamaria@gmail.com</t>
  </si>
  <si>
    <t>Mariela Roxana Juarez</t>
  </si>
  <si>
    <t>marielaroxana242506@gmail.com</t>
  </si>
  <si>
    <t>Romina Soledad Monge Vigna</t>
  </si>
  <si>
    <t>romimonge@hotmail.com</t>
  </si>
  <si>
    <t>Virginia Caceres</t>
  </si>
  <si>
    <t>viraca01@yahoo.com.ar</t>
  </si>
  <si>
    <t>Noelia Duran</t>
  </si>
  <si>
    <t>noeliaduran71@gmail.com</t>
  </si>
  <si>
    <t>conocer q ofrecen</t>
  </si>
  <si>
    <t>Aylu Mora</t>
  </si>
  <si>
    <t>esmecabral7522@gmail.com</t>
  </si>
  <si>
    <t>Gabriela Castillo</t>
  </si>
  <si>
    <t>gabysolc80@gmail.com</t>
  </si>
  <si>
    <t>César pereyra</t>
  </si>
  <si>
    <t>pereyracesar19@hotmail.con</t>
  </si>
  <si>
    <t>Decohogar</t>
  </si>
  <si>
    <t>fabian almada</t>
  </si>
  <si>
    <t>almadafabian30@gmail.com</t>
  </si>
  <si>
    <t>muchos</t>
  </si>
  <si>
    <t>veloimports.ar@gmail.com</t>
  </si>
  <si>
    <t>Hola, cómo están? Estoy interesado en comprar artículos variados. Si existe la posibilidad de comprar por bulto, también me sirve.</t>
  </si>
  <si>
    <t>SalamancaStore.jujuy</t>
  </si>
  <si>
    <t>guty_2408@live.com.ar</t>
  </si>
  <si>
    <t>Humificadores, electrónica, bazar</t>
  </si>
  <si>
    <t>Ariel Britez</t>
  </si>
  <si>
    <t>virtualnovashop@hotmail.com</t>
  </si>
  <si>
    <t>Nicolás Job Martinez</t>
  </si>
  <si>
    <t>nicolasmartinezlb6@gmail.com</t>
  </si>
  <si>
    <t>En todo lo que sea cocción, bazar y decoración.</t>
  </si>
  <si>
    <t>Andres Blanco</t>
  </si>
  <si>
    <t>blancojorge264@gmail.com</t>
  </si>
  <si>
    <t>En productos para la casa y todo lo que es hermoso</t>
  </si>
  <si>
    <t>Claudia Lobo</t>
  </si>
  <si>
    <t>clodylobo@hotmail.com</t>
  </si>
  <si>
    <t>difusores y otros</t>
  </si>
  <si>
    <t>Rocio Belén Juárez</t>
  </si>
  <si>
    <t>Rociobelenjuarez97@gmail.com</t>
  </si>
  <si>
    <t>electrónica</t>
  </si>
  <si>
    <t>Ana Luz Creaciones</t>
  </si>
  <si>
    <t>noranaliagm2@gmail.com</t>
  </si>
  <si>
    <t>Veronica Gonzalez</t>
  </si>
  <si>
    <t>jessicagonzalez1437@gmail.com</t>
  </si>
  <si>
    <t>no lo se</t>
  </si>
  <si>
    <t>Mia Rojo</t>
  </si>
  <si>
    <t>miarojo56@gmail.com</t>
  </si>
  <si>
    <t>Margot Alvarado Rivera</t>
  </si>
  <si>
    <t>margot_cr@hotmail.com</t>
  </si>
  <si>
    <t>facundo..z</t>
  </si>
  <si>
    <t>facundogaturro@hotmail.com</t>
  </si>
  <si>
    <t>Gloria</t>
  </si>
  <si>
    <t>Gloriab3321@gmail.com</t>
  </si>
  <si>
    <t>Todos los productos de deco</t>
  </si>
  <si>
    <t>VIBRAS</t>
  </si>
  <si>
    <t>sere311085@gmail.com</t>
  </si>
  <si>
    <t>Unificador</t>
  </si>
  <si>
    <t>Maximiliano Maxbikes</t>
  </si>
  <si>
    <t>maxapa1@gmail.com</t>
  </si>
  <si>
    <t>electronica y lamparas</t>
  </si>
  <si>
    <t>Ivan</t>
  </si>
  <si>
    <t>I</t>
  </si>
  <si>
    <t>𝑱𝒂𝒏𝒐 Campodonico</t>
  </si>
  <si>
    <t>campodonicojano@gmail.com</t>
  </si>
  <si>
    <t>Estoy buscando proveedores nuevos para mi negocio.</t>
  </si>
  <si>
    <t>Chimi Aguirre</t>
  </si>
  <si>
    <t>chimiaguirre@hotmail.com</t>
  </si>
  <si>
    <t>De todo un poco…quiero ver que tienen y ver cuál tiene mejor salida</t>
  </si>
  <si>
    <t>Martin Tisho Romero</t>
  </si>
  <si>
    <t>briluziluminacion@gmail.com</t>
  </si>
  <si>
    <t>productos de iluminación</t>
  </si>
  <si>
    <t>David Tolaba</t>
  </si>
  <si>
    <t>magnotolaba@gmail.com</t>
  </si>
  <si>
    <t>lo más vendido</t>
  </si>
  <si>
    <t>Lau Gamarra</t>
  </si>
  <si>
    <t>gamarralaurita@gmail.com</t>
  </si>
  <si>
    <t>De todo un poco</t>
  </si>
  <si>
    <t>Maria Eugenia Gauna</t>
  </si>
  <si>
    <t>mariaeugeniagauna28@gmail.com</t>
  </si>
  <si>
    <t>Virginia Lostalo</t>
  </si>
  <si>
    <t>virgi-lostalo@live.com.ar</t>
  </si>
  <si>
    <t>Hh</t>
  </si>
  <si>
    <t>Cynthia Di Paola</t>
  </si>
  <si>
    <t>cynthiadanieladipaola@gmail.com</t>
  </si>
  <si>
    <t>carolina</t>
  </si>
  <si>
    <t>carolinaebotta@gmail.com</t>
  </si>
  <si>
    <t>Hogar novedadosos</t>
  </si>
  <si>
    <t>Alejandro Piccoli</t>
  </si>
  <si>
    <t>ap_servicioseinsumos@hotmail.com</t>
  </si>
  <si>
    <t>Tengo un Polirubro de limpieza y arts va de cocina y bazar y otro comercio de aromas y fragancias</t>
  </si>
  <si>
    <t>Mati Garcia</t>
  </si>
  <si>
    <t>matiyou441@gmail.com</t>
  </si>
  <si>
    <t>Productos de temporada</t>
  </si>
  <si>
    <t>Joel Ariel Cruz</t>
  </si>
  <si>
    <t>cruzjoel74@outlook.com</t>
  </si>
  <si>
    <t>Una lista del stock que manejan</t>
  </si>
  <si>
    <t>Jennifer Karina Mendez Betancourt</t>
  </si>
  <si>
    <t>superjenni@hotmail.com</t>
  </si>
  <si>
    <t>Joystick</t>
  </si>
  <si>
    <t>Claudia Alejandra Planells</t>
  </si>
  <si>
    <t>claudiaplanells05@gmail.com</t>
  </si>
  <si>
    <t>Información de todos los productos</t>
  </si>
  <si>
    <t>Veronica</t>
  </si>
  <si>
    <t>verokal09@hotmail.com</t>
  </si>
  <si>
    <t>Lun Heras</t>
  </si>
  <si>
    <t>azu</t>
  </si>
  <si>
    <t>lacanalla_azul@hotmail.es</t>
  </si>
  <si>
    <t>Luz</t>
  </si>
  <si>
    <t>luzpenades@hotmail.com</t>
  </si>
  <si>
    <t>Mar pilar</t>
  </si>
  <si>
    <t>poggi.mariela@gmail.com</t>
  </si>
  <si>
    <t>Ver el catálogo para enviarme</t>
  </si>
  <si>
    <t>Primer Piso</t>
  </si>
  <si>
    <t>mariadelosangelesrodrigo5@hotmail.com</t>
  </si>
  <si>
    <t>Claudio Grand Oeste</t>
  </si>
  <si>
    <t>grand.oeste@gmail.com</t>
  </si>
  <si>
    <t>Leila Muñoz Conocheli</t>
  </si>
  <si>
    <t>leilamunozconocheli@gmail.com</t>
  </si>
  <si>
    <t>LED</t>
  </si>
  <si>
    <t>Carla Sostoa</t>
  </si>
  <si>
    <t>carlasostoa@gmail.com</t>
  </si>
  <si>
    <t>Utensilios de cocina . telefonos accesorios de telefonos no tan caros</t>
  </si>
  <si>
    <t>Norberto Santoss</t>
  </si>
  <si>
    <t>nssantos7121@gmail.com</t>
  </si>
  <si>
    <t>Astronautas. Humificadores.</t>
  </si>
  <si>
    <t>Javier Gonzalez</t>
  </si>
  <si>
    <t>xavi240177@gmail.com</t>
  </si>
  <si>
    <t>electrica, hogar , regalería</t>
  </si>
  <si>
    <t>Javier Fassio</t>
  </si>
  <si>
    <t>fassio5@hotmail.com</t>
  </si>
  <si>
    <t>sofia</t>
  </si>
  <si>
    <t>SofiaC166@gmail.com</t>
  </si>
  <si>
    <t>Estefania</t>
  </si>
  <si>
    <t>polirrubroestefania@gmail.com</t>
  </si>
  <si>
    <t>Roberto Joaquín García</t>
  </si>
  <si>
    <t>robertojoaquingarcia241@gmail.com</t>
  </si>
  <si>
    <t>quiero ver lista de precios y productos</t>
  </si>
  <si>
    <t>Giuliana diaz</t>
  </si>
  <si>
    <t>maxi_abaca@hotmail.com</t>
  </si>
  <si>
    <t>Quisiera ver un poco d todo</t>
  </si>
  <si>
    <t>Vale Carrasco</t>
  </si>
  <si>
    <t>valeria_77_13@hotmail.com</t>
  </si>
  <si>
    <t>todo lo que es bazar y deco</t>
  </si>
  <si>
    <t>Joyas de Plata 925, Acero Dorado Acero 316L y Fantasía</t>
  </si>
  <si>
    <t>bless.chilecito@gmail.com</t>
  </si>
  <si>
    <t>Información</t>
  </si>
  <si>
    <t>Jose Luis Vinyals</t>
  </si>
  <si>
    <t>vinyals@hotmail.com</t>
  </si>
  <si>
    <t>Accesorios</t>
  </si>
  <si>
    <t>hernan</t>
  </si>
  <si>
    <t>hernang1987@outlook.com</t>
  </si>
  <si>
    <t>Electronica y bazar</t>
  </si>
  <si>
    <t>Claudia Moro</t>
  </si>
  <si>
    <t>claudiamoro1963@gmail.com</t>
  </si>
  <si>
    <t>tendencias</t>
  </si>
  <si>
    <t>Jess</t>
  </si>
  <si>
    <t>mjessicafrontini@gmail.com</t>
  </si>
  <si>
    <t>Misdulces Regalos</t>
  </si>
  <si>
    <t>Vale Paccoret</t>
  </si>
  <si>
    <t>valeriapaccoret@gmail.com</t>
  </si>
  <si>
    <t>Ivan Alejandro Luft Pereyra</t>
  </si>
  <si>
    <t>ivan_lach_22@hotmail.com</t>
  </si>
  <si>
    <t>Difusor de bapor</t>
  </si>
  <si>
    <t>Serafin Rojas</t>
  </si>
  <si>
    <t>serafinandres321@gmail.com</t>
  </si>
  <si>
    <t>Vianda térmica</t>
  </si>
  <si>
    <t>María del Carmen Corvalan</t>
  </si>
  <si>
    <t>meridcc@hotmail.com</t>
  </si>
  <si>
    <t>luces led,humificadores etc..</t>
  </si>
  <si>
    <t>Patricia Vargas Romero</t>
  </si>
  <si>
    <t>pattyvargasromero24@gmail.com</t>
  </si>
  <si>
    <t>todo para cocina</t>
  </si>
  <si>
    <t>Leandro Fernández</t>
  </si>
  <si>
    <t>leoff1merlo@hotmail.com</t>
  </si>
  <si>
    <t>de todo en general</t>
  </si>
  <si>
    <t>Alina Arango</t>
  </si>
  <si>
    <t>alinaymalen@gmail.com</t>
  </si>
  <si>
    <t>candela de la fuente</t>
  </si>
  <si>
    <t>delafuentecandelabelen59@gmail.com</t>
  </si>
  <si>
    <t>Martin Lampa</t>
  </si>
  <si>
    <t>martinlampa05@gmail.com</t>
  </si>
  <si>
    <t>𝒟𝒜𝐹𝐸𝐿𝐼</t>
  </si>
  <si>
    <t>cristianlozano61@gmail.com</t>
  </si>
  <si>
    <t>Todo !</t>
  </si>
  <si>
    <t>Fernando Palamara</t>
  </si>
  <si>
    <t>vane_jl_16@hotmail.com</t>
  </si>
  <si>
    <t>Morales Claudio</t>
  </si>
  <si>
    <t>claudio19morales@gmail.com</t>
  </si>
  <si>
    <t>me gustaría emprender, me podrán enviar información?</t>
  </si>
  <si>
    <t>Betina Bosio</t>
  </si>
  <si>
    <t>bosiobetina990@gmail.com</t>
  </si>
  <si>
    <t>Mendi Winer</t>
  </si>
  <si>
    <t>mendiwiner004@gmail.com</t>
  </si>
  <si>
    <t>Sabrina Funes</t>
  </si>
  <si>
    <t>sabrifunes@hotmail.com</t>
  </si>
  <si>
    <t>decoracion, bebes, etc</t>
  </si>
  <si>
    <t>Mauri | Coach</t>
  </si>
  <si>
    <t>estebancate.16@gmail.com</t>
  </si>
  <si>
    <t>Cosas que pueda vender en una ferretería, medio bazar y varios artículos para el hogar</t>
  </si>
  <si>
    <t>Lorena Perez</t>
  </si>
  <si>
    <t>lorenatuc23@hotmail.com</t>
  </si>
  <si>
    <t>David Rucci</t>
  </si>
  <si>
    <t>david1975_9@hotmail.com</t>
  </si>
  <si>
    <t>quiero ver lista</t>
  </si>
  <si>
    <t>Maria Sityar un</t>
  </si>
  <si>
    <t>sityar@hotmail.com</t>
  </si>
  <si>
    <t>viandas</t>
  </si>
  <si>
    <t>Diani</t>
  </si>
  <si>
    <t>dianabiancamanuel@gmail.com</t>
  </si>
  <si>
    <t>Ana Martinez</t>
  </si>
  <si>
    <t>anamm6704@hotmail.com</t>
  </si>
  <si>
    <t>Mario Gonzalez</t>
  </si>
  <si>
    <t>mario_mmo@hotmail.com</t>
  </si>
  <si>
    <t>viandas herméticas</t>
  </si>
  <si>
    <t>Lücrecia Vivas</t>
  </si>
  <si>
    <t>lucre_vivas@hotmail.com</t>
  </si>
  <si>
    <t>Kevin Losardo</t>
  </si>
  <si>
    <t>kevin_lb_3000@hotmail.com</t>
  </si>
  <si>
    <t>Claudia soledad saavedra</t>
  </si>
  <si>
    <t>clausolesaavedra@gmail.com</t>
  </si>
  <si>
    <t>devo</t>
  </si>
  <si>
    <t>Cecilia Gianoglio</t>
  </si>
  <si>
    <t>ceci.gianoglio@gmail.com</t>
  </si>
  <si>
    <t>En todos los de cocina</t>
  </si>
  <si>
    <t>Mariana Vico</t>
  </si>
  <si>
    <t>mariana.vico.p@gmail.com</t>
  </si>
  <si>
    <t>Masajeador</t>
  </si>
  <si>
    <t>Gustavo vargas</t>
  </si>
  <si>
    <t>tecnimakinasbigo@gmail.com</t>
  </si>
  <si>
    <t>Productos tecnologicos</t>
  </si>
  <si>
    <t>Paola Albanese</t>
  </si>
  <si>
    <t>calvipola@live.com.ar</t>
  </si>
  <si>
    <t>.....</t>
  </si>
  <si>
    <t>Cintia Galarte</t>
  </si>
  <si>
    <t>carocin32@gmail.com</t>
  </si>
  <si>
    <t>Alejandro Gonzalez</t>
  </si>
  <si>
    <t>limpieza.agsucursal@gmail.com</t>
  </si>
  <si>
    <t>Quiero ver , que tienen</t>
  </si>
  <si>
    <t>Gabriela Cruz</t>
  </si>
  <si>
    <t>gaby_cruz@hotmail.com.ar</t>
  </si>
  <si>
    <t>humedificadores</t>
  </si>
  <si>
    <t>Mariela Rossi</t>
  </si>
  <si>
    <t>Maru.lg.37@gmail.om</t>
  </si>
  <si>
    <t>Carlos</t>
  </si>
  <si>
    <t>mk2.0de@gmail.com</t>
  </si>
  <si>
    <t>Aurea Pilates Reformer</t>
  </si>
  <si>
    <t>ainelenp@hotmail.com</t>
  </si>
  <si>
    <t>Aromas y cocinas</t>
  </si>
  <si>
    <t>Laura Bueno</t>
  </si>
  <si>
    <t>laura.bueno@hotmail.com</t>
  </si>
  <si>
    <t>Mesme</t>
  </si>
  <si>
    <t>esmeralda_35@outlook.com</t>
  </si>
  <si>
    <t>Humidificadores, aromatizantes, equipos aromáticos</t>
  </si>
  <si>
    <t>Patricia Rossi Mundofantasia</t>
  </si>
  <si>
    <t>patry_rossi4@hotmail.com</t>
  </si>
  <si>
    <t>quiero ver lo que ofrecen</t>
  </si>
  <si>
    <t>Mariano Cardozo</t>
  </si>
  <si>
    <t>cardozo.mariano@outlook.com</t>
  </si>
  <si>
    <t>Marta Heredia</t>
  </si>
  <si>
    <t>grachi_94@hotmail.com</t>
  </si>
  <si>
    <t>ʙʀᴇɴᴅᴀ</t>
  </si>
  <si>
    <t>ferreiranoguerabrenda@gmail.com</t>
  </si>
  <si>
    <t>Aromatizante ambiental, sahumerios</t>
  </si>
  <si>
    <t>Esther Salguero</t>
  </si>
  <si>
    <t>losnievas1@gmail.com</t>
  </si>
  <si>
    <t>Sebastian</t>
  </si>
  <si>
    <t>homecr96@gmail.com</t>
  </si>
  <si>
    <t>Estrellas de rápida venta.</t>
  </si>
  <si>
    <t>gabriela morone</t>
  </si>
  <si>
    <t>moronegabriela9@gmail.com</t>
  </si>
  <si>
    <t>Baltasar</t>
  </si>
  <si>
    <r>
      <rPr>
        <rFont val="Calibri, sans-serif"/>
        <color rgb="FF1155CC"/>
        <sz val="11.0"/>
        <u/>
      </rPr>
      <t>baltalujansuarez@gmail.com</t>
    </r>
  </si>
  <si>
    <t>Me interesan productos de bazar orientado a cocina y decoración.</t>
  </si>
  <si>
    <t>Marcelo Pigues</t>
  </si>
  <si>
    <t>marchu_smash@hotmail.com</t>
  </si>
  <si>
    <t>soy_nuevo</t>
  </si>
  <si>
    <t>Se envío msj por whatsapp + llamada y no contesto.</t>
  </si>
  <si>
    <t>David Paez</t>
  </si>
  <si>
    <t>paezdavid89@gmail.com</t>
  </si>
  <si>
    <t>Facu Fernandez</t>
  </si>
  <si>
    <t>fsf_95@hotmail.com</t>
  </si>
  <si>
    <t>Sasuna Yañez</t>
  </si>
  <si>
    <t>sulerinmds16@gmail.com</t>
  </si>
  <si>
    <t>regaleria bazar</t>
  </si>
  <si>
    <t>Dijo que le interesaba las mochilas, bolsos y valijas, indico que la volvamos a contactar en 2 semanas que posiblemente realice una compra</t>
  </si>
  <si>
    <t>chinelli Luciana</t>
  </si>
  <si>
    <t>taylornatividadmaria@gmail.com</t>
  </si>
  <si>
    <t>lo que tengan vendo escencias y todo para ambientes limpieza</t>
  </si>
  <si>
    <t>Imindtech</t>
  </si>
  <si>
    <t>albacristian62@gmail.com</t>
  </si>
  <si>
    <t>Me gustaría ver las viandas herméticas y sus otros productos</t>
  </si>
  <si>
    <t xml:space="preserve">Indico que esta interesado, que ve a ver el catalogo y nos va a contactar </t>
  </si>
  <si>
    <t>Natalia Medina</t>
  </si>
  <si>
    <t>lumitec_am@hotmail.com</t>
  </si>
  <si>
    <t>Tengo ferreteria y casa de iluminacion. Me interesan varios productos.</t>
  </si>
  <si>
    <t>Gustavo Podprullenko</t>
  </si>
  <si>
    <t>gustanicoabril@hotmail.com</t>
  </si>
  <si>
    <t>Lista de precio</t>
  </si>
  <si>
    <t>Karen Martino</t>
  </si>
  <si>
    <t>karenmartino93@hotmail.com</t>
  </si>
  <si>
    <t>Enrique Rusinek</t>
  </si>
  <si>
    <t>e_rusinek@hotmail.com</t>
  </si>
  <si>
    <t>Alexander Calvo</t>
  </si>
  <si>
    <t>calvoalexander583@gmail.com</t>
  </si>
  <si>
    <t>En todos los productos</t>
  </si>
  <si>
    <t>Dani / Expansión de Empresa</t>
  </si>
  <si>
    <t>danimolinasj@hotmail.com</t>
  </si>
  <si>
    <t>Ok</t>
  </si>
  <si>
    <t>Regaloscononda.com</t>
  </si>
  <si>
    <t>ventas@regaloscononda.com</t>
  </si>
  <si>
    <t>gral</t>
  </si>
  <si>
    <t>Mauricio Sosto</t>
  </si>
  <si>
    <t>profe_mauri@hotmail.com</t>
  </si>
  <si>
    <t>cocina y hogar</t>
  </si>
  <si>
    <t>Laura Sánchez</t>
  </si>
  <si>
    <t>laurabeatrizsanchez@gmail.com</t>
  </si>
  <si>
    <t>Sofiafedrizzituenti@gmail.com</t>
  </si>
  <si>
    <t>magali bordon bonfrisco</t>
  </si>
  <si>
    <t>magbonfrisco@gmail.com</t>
  </si>
  <si>
    <t>Wilson Villalba</t>
  </si>
  <si>
    <t>wvillalba338@gmail.com</t>
  </si>
  <si>
    <t>biandas</t>
  </si>
  <si>
    <t>Nahue Teglia</t>
  </si>
  <si>
    <t>nahuelteglia14@gmail.com</t>
  </si>
  <si>
    <t>Electrónica Hogar</t>
  </si>
  <si>
    <t>Fercho Softsys</t>
  </si>
  <si>
    <t>ferclavel@yahoo.com</t>
  </si>
  <si>
    <t>Sergio Sergio</t>
  </si>
  <si>
    <t>sergiobahia32@yahoo.com.ar</t>
  </si>
  <si>
    <t>Camila Rozas</t>
  </si>
  <si>
    <t>camirozas.negocios@gmail.com</t>
  </si>
  <si>
    <t>Soy creadora de contenido</t>
  </si>
  <si>
    <t>Rodrigo Yacante</t>
  </si>
  <si>
    <t>royacante86@gmail.com</t>
  </si>
  <si>
    <t>local_físico_de_bazar</t>
  </si>
  <si>
    <t>Silvia Szczypta</t>
  </si>
  <si>
    <t>silviaszczypta1@hotmail.com</t>
  </si>
  <si>
    <t>Se le envió el catalogo y se le consulto hoy 09/01 si esta interesada en algun producto</t>
  </si>
  <si>
    <t>Holly - Terapias Para El Alma</t>
  </si>
  <si>
    <t>camiluchi7@gmail.com</t>
  </si>
  <si>
    <t>Lámparas esferas y humidificadores</t>
  </si>
  <si>
    <t>Tini Natucci</t>
  </si>
  <si>
    <t>martinanatucci231979@gmail.com</t>
  </si>
  <si>
    <t>Pidio si le podiamos conseguir vapers para fumar</t>
  </si>
  <si>
    <t>Christian Anile</t>
  </si>
  <si>
    <t>infolemarc@gmail.com</t>
  </si>
  <si>
    <t>Ollas</t>
  </si>
  <si>
    <t>Claudia Marzano</t>
  </si>
  <si>
    <t>claudiadiaz88@hotmail.com</t>
  </si>
  <si>
    <t>Uminificadores</t>
  </si>
  <si>
    <t xml:space="preserve">Indico que la llamemos el 14/01 que esta de vacaciones </t>
  </si>
  <si>
    <t>Victor Legal-Ortiz</t>
  </si>
  <si>
    <t>dr.cadillacs08@hotmail.com</t>
  </si>
  <si>
    <t>Humidificador y lámparas</t>
  </si>
  <si>
    <t>Erica Dolcemascolo</t>
  </si>
  <si>
    <t>detallesmiosonline@gmail.com</t>
  </si>
  <si>
    <t>Bienestar, Deco, artesanías, elemento higiene</t>
  </si>
  <si>
    <t>Zurita Sonia</t>
  </si>
  <si>
    <t>anahizurita@hotmail.com</t>
  </si>
  <si>
    <t>Celeste San Martin</t>
  </si>
  <si>
    <t>bluesanmartin@hotmail.com</t>
  </si>
  <si>
    <t>Lancheras</t>
  </si>
  <si>
    <t>Sebastian D'Agostino</t>
  </si>
  <si>
    <t>dagostino.seba@gmail.com</t>
  </si>
  <si>
    <t>Quiero ver catalogo</t>
  </si>
  <si>
    <t>Se le envío msj y el catalogo y reacciono con un pulgar arriba (07/01-08/01 no contesto)</t>
  </si>
  <si>
    <t>BENJUI</t>
  </si>
  <si>
    <t>gloria_01_12_74@hotmail.com</t>
  </si>
  <si>
    <t>Serdà Rosales Florencia</t>
  </si>
  <si>
    <t>mariocanizo03@gmail.com</t>
  </si>
  <si>
    <t>información</t>
  </si>
  <si>
    <t>Contesto que puede recibir solo whatsapps, se le envió catalogo e información de UNPO (07/01-08/01 no contesto)</t>
  </si>
  <si>
    <t>Rolando Vera</t>
  </si>
  <si>
    <t>rolandomvera@yahoo.com</t>
  </si>
  <si>
    <t>Natalia Perez</t>
  </si>
  <si>
    <t>naty_perez86@hotmail.com</t>
  </si>
  <si>
    <t>ivon</t>
  </si>
  <si>
    <t>aguilarivon896@gmail.com</t>
  </si>
  <si>
    <t>Todo para el hogar</t>
  </si>
  <si>
    <t>Marcos Andres Schulz</t>
  </si>
  <si>
    <t>dr.marcosschulz@gmail.com</t>
  </si>
  <si>
    <t>Deco humificadorew</t>
  </si>
  <si>
    <t>Contesto la llamada, dijo estar interesado y que compraría por monto minimo humidificadores, 09/01 dijo que vio el catalogo pero no decidio aun la compra</t>
  </si>
  <si>
    <t>J D Urbano Urbano</t>
  </si>
  <si>
    <t>yareramos554@gmail.com</t>
  </si>
  <si>
    <t>difusores ambientales</t>
  </si>
  <si>
    <t>Marino Ruben</t>
  </si>
  <si>
    <t>carlosruben033@gmail.com</t>
  </si>
  <si>
    <t>de todo tipo de artículos</t>
  </si>
  <si>
    <t>Contesto la llamada, dijo que estaba ocupado que lo llame el 07/01 a partir de las 09 hs. Realice 3 llamadas y no contesto 07/01-08/01</t>
  </si>
  <si>
    <t>Buenas Vibras</t>
  </si>
  <si>
    <t>antoycesar2022@gmail.com</t>
  </si>
  <si>
    <t>Cocina ,hogar y decoración</t>
  </si>
  <si>
    <t>Caro Luna</t>
  </si>
  <si>
    <t>karitolunas@hotmail.com</t>
  </si>
  <si>
    <t>Aromatizantes creo q se llaman</t>
  </si>
  <si>
    <t>Jor Gatti</t>
  </si>
  <si>
    <t>jorgelina_gatti@hotmail.com</t>
  </si>
  <si>
    <t>Quisiera ver una variedad de productos</t>
  </si>
  <si>
    <t>Pamela Griffo</t>
  </si>
  <si>
    <t>pamelagriffo@gmail.com</t>
  </si>
  <si>
    <t>Contesto la llamada, dijo estar interesada, solicito información y el catálogo. (07/01-08/01 no contesto)</t>
  </si>
  <si>
    <t>Moni Ruiz (solo mensaje x WhatsApp trabajando)</t>
  </si>
  <si>
    <t>moruiz6@abc.gob.ar</t>
  </si>
  <si>
    <t>tengo en mi local un polirubro, y aparte hago ventas ambulatoria</t>
  </si>
  <si>
    <t>Lucia sopranzetti</t>
  </si>
  <si>
    <t>sopranzetti677@gmail.com</t>
  </si>
  <si>
    <t>polirubro</t>
  </si>
  <si>
    <t>Dalma Troncoso</t>
  </si>
  <si>
    <t>dalmuchy_12@hotmail.com</t>
  </si>
  <si>
    <t>Un poco de bazar, deco, perfumeria</t>
  </si>
  <si>
    <t>Ana</t>
  </si>
  <si>
    <t>351 606-4198</t>
  </si>
  <si>
    <t>limplex.cba@gmail.com</t>
  </si>
  <si>
    <t>Francisco Javier Ferroni</t>
  </si>
  <si>
    <t>fjfvm@yahoo.com.ar</t>
  </si>
  <si>
    <t>humidificador y otros</t>
  </si>
  <si>
    <t>Jose Cirucich</t>
  </si>
  <si>
    <t>josecirucich@hotmail.com</t>
  </si>
  <si>
    <t>Pao Natalia</t>
  </si>
  <si>
    <t>paonatalia40@gmail.com</t>
  </si>
  <si>
    <t>Deco hogar, cocina, todo para venta on line</t>
  </si>
  <si>
    <t>Cintia Mellid</t>
  </si>
  <si>
    <t>cintiamellid@gmail.com</t>
  </si>
  <si>
    <t>Camila Ferrari1</t>
  </si>
  <si>
    <t>camilaayferrari1@gmail.com</t>
  </si>
  <si>
    <t>Bazar Etc</t>
  </si>
  <si>
    <t>Sandra Mabel Martinez</t>
  </si>
  <si>
    <t>sandrytandil@gmail.com</t>
  </si>
  <si>
    <t>Todos. Humidificadores, hogar, etc</t>
  </si>
  <si>
    <t>Sol Quiroga</t>
  </si>
  <si>
    <t>solquiroga388@gmail.com</t>
  </si>
  <si>
    <t>Jorge Omar Padilla</t>
  </si>
  <si>
    <t>jptecno61@gmail.com</t>
  </si>
  <si>
    <t>Laurita Victoria Bortagaray</t>
  </si>
  <si>
    <t>camila_3103@hotmail.com</t>
  </si>
  <si>
    <t>Contesto que puede recibir msj o audios unicamente, se le dio la informacion solicitada y se le envió el catálogo.08/01 contesto que va a hacer una compra pero esta decidiendo la cantidad</t>
  </si>
  <si>
    <t>Dulce Alma Tienda holistica &amp; Terapias</t>
  </si>
  <si>
    <t>alesanhueza@hotmail.com</t>
  </si>
  <si>
    <t>humificadores y algunos otros productos de deco</t>
  </si>
  <si>
    <t>Doriana Casco</t>
  </si>
  <si>
    <t>dorianacasco@gmail.com</t>
  </si>
  <si>
    <t>Contesto la llamada, dijo que la volvamos a contactar mas adelante porque esta con problemas personales actualmente.</t>
  </si>
  <si>
    <t>Guillermo Martinez</t>
  </si>
  <si>
    <t>macondotiendas@gmail.com</t>
  </si>
  <si>
    <t>Natalia Gudiño</t>
  </si>
  <si>
    <t>natygudinio@yahoo.com.ar</t>
  </si>
  <si>
    <t>Hola quería ver catálogo , opciones mayoristas para poder ponerle la marca de mi tienda gracias 3517038959 Natalia</t>
  </si>
  <si>
    <t>Contesto la llamada, dijo que estaba ocupada, que la vuelva a llamar a partir de las 17, 06/01 en ese horario se la llamo tres veces y no contesto. (07/01 vuelvo a llamar)</t>
  </si>
  <si>
    <t>Taller De Arte Debora Santos</t>
  </si>
  <si>
    <t>desanti516@hotmail.com</t>
  </si>
  <si>
    <t>Jesica mottura</t>
  </si>
  <si>
    <t>Segurosmottura@gmail.com</t>
  </si>
  <si>
    <t>cheller@bialik-devoto.edu.ar</t>
  </si>
  <si>
    <t>Viandas herméticas para chicos de colegio</t>
  </si>
  <si>
    <t>Se envió msj y contesto que esta de vacaciones hasta el 20/01, que lo contactemos luego de esa fecha</t>
  </si>
  <si>
    <t>Jorge Diaz</t>
  </si>
  <si>
    <t>freedom07@gmail.com</t>
  </si>
  <si>
    <t>Naomi Servi</t>
  </si>
  <si>
    <t>solercollemmanuel@gmail.com</t>
  </si>
  <si>
    <t>Erica Maragliano</t>
  </si>
  <si>
    <t>ericamaragliano@gmail.com</t>
  </si>
  <si>
    <t>Quiero ver todos los productos</t>
  </si>
  <si>
    <t>Tomassini Ezequiel</t>
  </si>
  <si>
    <t>eze654@gmail.com</t>
  </si>
  <si>
    <t>Hugo Osvaldo Rios</t>
  </si>
  <si>
    <t>rudis444@hotmail.com</t>
  </si>
  <si>
    <t>Buenas tardes me interesan los humidificadores. Gracias.</t>
  </si>
  <si>
    <t>Marcelo Crisci</t>
  </si>
  <si>
    <t>mlcrisci2@gmail.com</t>
  </si>
  <si>
    <t>En realidad en todos si me pueden informar</t>
  </si>
  <si>
    <t>Mailen Condori</t>
  </si>
  <si>
    <t>lexyheartwellok@gmail.com</t>
  </si>
  <si>
    <t>Liliana Caminos</t>
  </si>
  <si>
    <t>lilianacaminos928@gmail.com</t>
  </si>
  <si>
    <t>Normi</t>
  </si>
  <si>
    <t>norgutiz__@hotmail.com</t>
  </si>
  <si>
    <t xml:space="preserve">Hablamos por llamada, le intereso, me pidio por algunos productos que no estan en el catalogo, lamparas de sal, liquido aromatizante para los humidificadores. (07/01 la vuelvo a llamar para ver si se puede cerrar la venta) </t>
  </si>
  <si>
    <t>GRATITUD</t>
  </si>
  <si>
    <t>fridamencai@gmail.com</t>
  </si>
  <si>
    <t>Claudio Gabriel Perre</t>
  </si>
  <si>
    <t>claudioperre@yahoo.com.ar</t>
  </si>
  <si>
    <t>Hablamos por llamada, pero decidió ir ocn otro importador porque quería una garantía mas extensa que la de un mes (6 meses). Igual dijo que los precios le parecieron muy buenos y que si arranca bien con las ventas nos iba a tener en cuenta para comprar.</t>
  </si>
  <si>
    <t>Griselda</t>
  </si>
  <si>
    <t>megainformatica60@gmail.com.com</t>
  </si>
  <si>
    <t>Joana Berrondo</t>
  </si>
  <si>
    <t>joanabmartinez260617@gmail.com</t>
  </si>
  <si>
    <t>en todo bazar , electrónica y artículos varios</t>
  </si>
  <si>
    <t>Pedro Martinez</t>
  </si>
  <si>
    <t>electricidadmartinez_79@hotmail.com</t>
  </si>
  <si>
    <t>De moda</t>
  </si>
  <si>
    <t>Vanina Vergara</t>
  </si>
  <si>
    <t>vani326_90@hotmail.com</t>
  </si>
  <si>
    <t>Gracias.......</t>
  </si>
  <si>
    <t>Luciano Dragani</t>
  </si>
  <si>
    <t>dragani_l@hotmail.com</t>
  </si>
  <si>
    <t>deco hogar cocina perfumes</t>
  </si>
  <si>
    <t>Foresi Cristian</t>
  </si>
  <si>
    <t>forrajeriafore@gmail.com</t>
  </si>
  <si>
    <t>Emilse Ybarra</t>
  </si>
  <si>
    <t>viviybarra21@gmail.com</t>
  </si>
  <si>
    <t>Ale Ba</t>
  </si>
  <si>
    <t>suuperbaand2023@gmail.com</t>
  </si>
  <si>
    <t>Juri</t>
  </si>
  <si>
    <t>showroomlarioja@gmail.com</t>
  </si>
  <si>
    <t>Quieto rmprender con novedades</t>
  </si>
  <si>
    <t>Elena Guinzburg</t>
  </si>
  <si>
    <t>guinzburg57@gmail.com</t>
  </si>
  <si>
    <t>sahumerios</t>
  </si>
  <si>
    <t>Taamii Gomez</t>
  </si>
  <si>
    <t>tamydelc_96@live.com.ar</t>
  </si>
  <si>
    <t>Agustin Farias</t>
  </si>
  <si>
    <t>agustinfarias127@gmail.com</t>
  </si>
  <si>
    <t>Mario Escudero</t>
  </si>
  <si>
    <t>marioescudero_rel@hotmail.com</t>
  </si>
  <si>
    <t>Gaby Echegaray</t>
  </si>
  <si>
    <t>lunaechegaraygabriela@hotmail.com</t>
  </si>
  <si>
    <t>monica crubinca</t>
  </si>
  <si>
    <t>monicacrubinca@gmail.com</t>
  </si>
  <si>
    <t>deco y blanqueria</t>
  </si>
  <si>
    <t>LA Misteriosa Canción</t>
  </si>
  <si>
    <t>vivianag_1807@yahoo.com.com.ar</t>
  </si>
  <si>
    <t>decoracion</t>
  </si>
  <si>
    <t>Sonia brassart</t>
  </si>
  <si>
    <t>soniamarianabrassart@gmail.com</t>
  </si>
  <si>
    <t>Graciela Maizon</t>
  </si>
  <si>
    <t>gracielamaizon@hotmail.com</t>
  </si>
  <si>
    <t>alejandra_tito@outlook.com</t>
  </si>
  <si>
    <t>Alejandra_tito@outlook.com</t>
  </si>
  <si>
    <t>Anibal de Souza</t>
  </si>
  <si>
    <t>anibalservicios@gmail.com</t>
  </si>
  <si>
    <t>Estefanía Helguero</t>
  </si>
  <si>
    <t>estefaniahelguero71@gmail.com</t>
  </si>
  <si>
    <t>accesorios para el hogar</t>
  </si>
  <si>
    <t>Ⓑⓔⓣⓣ</t>
  </si>
  <si>
    <t>betianamachado74@gmail.com</t>
  </si>
  <si>
    <t>Cosas innovadoras de bazar</t>
  </si>
  <si>
    <t>Richard Pino</t>
  </si>
  <si>
    <t>rap_84_8@hotmail.com</t>
  </si>
  <si>
    <t>Kari Barbero</t>
  </si>
  <si>
    <t>kab_inatami@live.com</t>
  </si>
  <si>
    <t>Hornillos o humidificadores.. Que ofrecen?</t>
  </si>
  <si>
    <t>Analia Veronica Salas</t>
  </si>
  <si>
    <t>anaverosalas@gmail.com</t>
  </si>
  <si>
    <t>Deco hogar</t>
  </si>
  <si>
    <t>Tahya Teilletchea</t>
  </si>
  <si>
    <t>tteilletches@gmail.com</t>
  </si>
  <si>
    <t>Buenas noches, estoy interesado en los difusores pero los que no tienen filtros, los otros que les pones la esencia y sale andando…</t>
  </si>
  <si>
    <t>Lucrecia</t>
  </si>
  <si>
    <t>marialucreciaacosta2013@gmail.com</t>
  </si>
  <si>
    <t>Hogar</t>
  </si>
  <si>
    <t>WhatsApp enviado - No esta interesada, ya resolvio - Flor</t>
  </si>
  <si>
    <t>Amenis Tienda Holistica</t>
  </si>
  <si>
    <t>virvergnano74@hotmail.com</t>
  </si>
  <si>
    <t>Judit Vildoza</t>
  </si>
  <si>
    <t>chuchi.v8706@gmail.com</t>
  </si>
  <si>
    <t>Me interesan los humidificadores</t>
  </si>
  <si>
    <t>Essence Cases</t>
  </si>
  <si>
    <t>jeniivazquez6364@gmail.com</t>
  </si>
  <si>
    <t>humidicadores</t>
  </si>
  <si>
    <t>Keylan Pereira Cybulka</t>
  </si>
  <si>
    <t>ayelenpereirack@gmail.com</t>
  </si>
  <si>
    <t>Marcelo Agra</t>
  </si>
  <si>
    <t>marcelo.agra419@gmail.com</t>
  </si>
  <si>
    <t>Hola pásame lo que trabajas para venta online catálogo y precios</t>
  </si>
  <si>
    <t>Mabel Moreno</t>
  </si>
  <si>
    <t>morenomabel2109@gmail.com</t>
  </si>
  <si>
    <t>Me gustaría que me pasaras el catálogo de los productos y precios</t>
  </si>
  <si>
    <t>No olvides tu Tupper</t>
  </si>
  <si>
    <t>tiempodeemprender2023@gmail.com</t>
  </si>
  <si>
    <t>Maria Laura Arano</t>
  </si>
  <si>
    <t>maroalauraarano17@gmail.com</t>
  </si>
  <si>
    <t>purificadores</t>
  </si>
  <si>
    <t>Naty E. Leza</t>
  </si>
  <si>
    <t>naty.leza13@gmail.com</t>
  </si>
  <si>
    <t>Noe Robles</t>
  </si>
  <si>
    <t>noerobles_1@hotmail.com</t>
  </si>
  <si>
    <t>Julian Mario Leoni</t>
  </si>
  <si>
    <t>Perfucasa@hotmail.com</t>
  </si>
  <si>
    <t>WhatsApp Enviado - Pidio catalogo y Pagina de IG  - Flor</t>
  </si>
  <si>
    <t>Silbana Rey</t>
  </si>
  <si>
    <t>silbanarey@gmail.com</t>
  </si>
  <si>
    <t>Nando Thecraff</t>
  </si>
  <si>
    <t>thecraff@hotmail.com</t>
  </si>
  <si>
    <t>Productos en general</t>
  </si>
  <si>
    <t xml:space="preserve">WhatsApp Enviado -  Flor </t>
  </si>
  <si>
    <t>Vivero Ohana</t>
  </si>
  <si>
    <t>Tengo vivero</t>
  </si>
  <si>
    <t xml:space="preserve">WhatsApp Enviado - Llamada n/c - Flor </t>
  </si>
  <si>
    <t>Gaston Peralta</t>
  </si>
  <si>
    <t>laroca1933@hotmail.com.ar</t>
  </si>
  <si>
    <t>WhatsApp Enviado - Pidio catalogo  - Flor</t>
  </si>
  <si>
    <t>Julieta Miranda de Rolong</t>
  </si>
  <si>
    <t>julliett08@outlook.com</t>
  </si>
  <si>
    <t>lo q venda mas en online</t>
  </si>
  <si>
    <t>Romina Quadrini</t>
  </si>
  <si>
    <t>romisq@hotmail.com</t>
  </si>
  <si>
    <t>veronica.cubi@hotmail.com</t>
  </si>
  <si>
    <t>Humificadore</t>
  </si>
  <si>
    <t>WhatsApp Enviado - n/c  - Flor</t>
  </si>
  <si>
    <t>Lau Gonzalez</t>
  </si>
  <si>
    <t>franchesca20219@gmail.com</t>
  </si>
  <si>
    <t>si</t>
  </si>
  <si>
    <t>Walter Insinger</t>
  </si>
  <si>
    <t>insingerwalter9@gmail.com</t>
  </si>
  <si>
    <t>hogar</t>
  </si>
  <si>
    <t>Alejandra Marquez</t>
  </si>
  <si>
    <t>alejandralorenamarquez@hotmail.com</t>
  </si>
  <si>
    <t>astronauta</t>
  </si>
  <si>
    <t>Solange Fernandez</t>
  </si>
  <si>
    <t>manshulasol@gmail.com</t>
  </si>
  <si>
    <t>deco y pequeños eléctros</t>
  </si>
  <si>
    <t>WhatsApp Enviado - evaluando - espera de rta  - Flor</t>
  </si>
  <si>
    <t>Adriana Chinellato</t>
  </si>
  <si>
    <t>elisa.enrici@hotmail.com</t>
  </si>
  <si>
    <t>En el que tengas buen precio</t>
  </si>
  <si>
    <t>Florencia mitri</t>
  </si>
  <si>
    <t>flormitri@yahoo.com.ar</t>
  </si>
  <si>
    <t>Decoracion y regaleria</t>
  </si>
  <si>
    <t xml:space="preserve">WhatsApp enviado - Esperando confirme pedido. - Flor </t>
  </si>
  <si>
    <t>Leonela</t>
  </si>
  <si>
    <t>donaleonela@gmail.com</t>
  </si>
  <si>
    <t>Organización, cocina y deco bazar</t>
  </si>
  <si>
    <t>Cristian Valle</t>
  </si>
  <si>
    <t>Cristianyt185@gmail.com</t>
  </si>
  <si>
    <t>Licuadora portatil</t>
  </si>
  <si>
    <t>Sofi Fleming</t>
  </si>
  <si>
    <t>sofiakitlain01@gmail.com</t>
  </si>
  <si>
    <t>Ariel Osvaldo Borquez</t>
  </si>
  <si>
    <t>arielborquez55@gmail.com</t>
  </si>
  <si>
    <t>Nicolas Damian Herrera</t>
  </si>
  <si>
    <t>nicolasdherrera@hotmail.com</t>
  </si>
  <si>
    <t>Patricia Damico</t>
  </si>
  <si>
    <t>patriciadamico13@yahoo.com.ar</t>
  </si>
  <si>
    <t>no ví aún lo que tienen.</t>
  </si>
  <si>
    <t>WhatsApp Enviado - pidio catalago para revision - Flor</t>
  </si>
  <si>
    <t>Roxy Ferroni Cipolletti</t>
  </si>
  <si>
    <t>roxyferroni@hotmail.com</t>
  </si>
  <si>
    <t>Adrián Almada</t>
  </si>
  <si>
    <t>almadaadrian@gmail.com</t>
  </si>
  <si>
    <t>Artículos vinculados al cuidado personal, estética y salud</t>
  </si>
  <si>
    <t>WhatsApp Enviado - n/c - Flor</t>
  </si>
  <si>
    <t>Paola Carolina</t>
  </si>
  <si>
    <t>paolagonzalez182@gmail.com</t>
  </si>
  <si>
    <t>WhatsApp Enviado - Pidio Catalogo para revision - Flor</t>
  </si>
  <si>
    <t>Tiziano</t>
  </si>
  <si>
    <t>tizitavettt@gmail.com</t>
  </si>
  <si>
    <t>Variado</t>
  </si>
  <si>
    <t>vanesa cayumil</t>
  </si>
  <si>
    <t>vanesacayumil1@gmail.com</t>
  </si>
  <si>
    <t>Alejandra Campos</t>
  </si>
  <si>
    <t>jomymac@hotmail.com</t>
  </si>
  <si>
    <t>Damian Ezequiel Perrino</t>
  </si>
  <si>
    <t>Iluminacionsanmiguel@hotmail.com</t>
  </si>
  <si>
    <t>Iluminacion</t>
  </si>
  <si>
    <t>Whatsapp Enviado - Pidio catalogo para revision - Flor</t>
  </si>
  <si>
    <t>Lautaro González</t>
  </si>
  <si>
    <t>lautarohernangonzalez599@gmail.com</t>
  </si>
  <si>
    <t>Ganador</t>
  </si>
  <si>
    <t>AtrCell Amarilla</t>
  </si>
  <si>
    <t>atr.cell2019@gmail.com</t>
  </si>
  <si>
    <t>Whatsapp empresa, NC - Flor</t>
  </si>
  <si>
    <t>Julian garay</t>
  </si>
  <si>
    <t>Info@ripollequipamientos.con</t>
  </si>
  <si>
    <t>WhatsApp Enviado  - Flor</t>
  </si>
  <si>
    <t>Magali Nocetto</t>
  </si>
  <si>
    <t>magalinocetto@yahoo.com.ar</t>
  </si>
  <si>
    <t>Olla</t>
  </si>
  <si>
    <t>Macarena Escobar</t>
  </si>
  <si>
    <t>emacarenaaylen@gmail.com</t>
  </si>
  <si>
    <t>Quería ver el catálogo</t>
  </si>
  <si>
    <t>Victoria G</t>
  </si>
  <si>
    <t>mav.allende@gmail.com</t>
  </si>
  <si>
    <t>Hernán</t>
  </si>
  <si>
    <t>hernanaccomo@gmail.com</t>
  </si>
  <si>
    <t>Busco sumar nueva línea de productos</t>
  </si>
  <si>
    <t>Miguel Bono</t>
  </si>
  <si>
    <t>leo_bono05@hotmail.com</t>
  </si>
  <si>
    <t>WhatsApp Enviado - Llamada n/c - Flor</t>
  </si>
  <si>
    <t>Natalia Gomez Ferrero</t>
  </si>
  <si>
    <t>gomezenatalia31@gmail.com</t>
  </si>
  <si>
    <t>Fernando</t>
  </si>
  <si>
    <t>villarroelfernando@hotmail.com</t>
  </si>
  <si>
    <t>Lucila ansaldo</t>
  </si>
  <si>
    <t>info@estiloglobal.com</t>
  </si>
  <si>
    <t>humidificadores y varios similares</t>
  </si>
  <si>
    <t>Karina Lugones</t>
  </si>
  <si>
    <t>karylug73@hotmail.com</t>
  </si>
  <si>
    <t>Ivi Tavernini</t>
  </si>
  <si>
    <t>ivana_tavernini@hotmail.com</t>
  </si>
  <si>
    <t>Decoración, aromatizadores y demás</t>
  </si>
  <si>
    <t>Nancy Cardozo</t>
  </si>
  <si>
    <t>nancycardozoe@gmail.com</t>
  </si>
  <si>
    <t>atomizadores y esto</t>
  </si>
  <si>
    <t xml:space="preserve">WhatsApp Enviado -  Flor - Pidio catalogo para revision </t>
  </si>
  <si>
    <t>Diego Patriarca</t>
  </si>
  <si>
    <t>diego-patriarca@hotmail.com</t>
  </si>
  <si>
    <t>Oscar Gomez</t>
  </si>
  <si>
    <t>oscar0404behrns@gmail.com</t>
  </si>
  <si>
    <t>WhatsApp Enviado -  Flor</t>
  </si>
  <si>
    <t>Natu Capasso</t>
  </si>
  <si>
    <t>natucapassogervais@gmail.com</t>
  </si>
  <si>
    <t>Bebé</t>
  </si>
  <si>
    <t>EVELYN Florencia Antonella arias</t>
  </si>
  <si>
    <t>evelin.florencia1993.arias@gmail.com</t>
  </si>
  <si>
    <t>de todo un poco</t>
  </si>
  <si>
    <t>Yamila Garcia</t>
  </si>
  <si>
    <t>yamilagarcia1982@gmail.com</t>
  </si>
  <si>
    <t>Ariel Armando Paez</t>
  </si>
  <si>
    <t>foxarie@yahoo.com.ar</t>
  </si>
  <si>
    <t>Karina Gonzalez</t>
  </si>
  <si>
    <t>maycolelpelverso@gmail.com</t>
  </si>
  <si>
    <t>Franco Falleau</t>
  </si>
  <si>
    <t>franconicof72@hotmail.com</t>
  </si>
  <si>
    <t>Tech</t>
  </si>
  <si>
    <t>Yesica Ojeda</t>
  </si>
  <si>
    <t>yesica19gaston@gmail.com</t>
  </si>
  <si>
    <t>Todos para poder revender</t>
  </si>
  <si>
    <t>WhatsApp Enviado - Pidio catalogo para revision  - Flor</t>
  </si>
  <si>
    <t>Multi Soluciones</t>
  </si>
  <si>
    <t>multisolucioneshogar1@gmail.com</t>
  </si>
  <si>
    <t>Variedad de productos estoy interesado</t>
  </si>
  <si>
    <t>WhatsApp Enviado - Llamada No contesta - Flor</t>
  </si>
  <si>
    <t>marcelo gatti</t>
  </si>
  <si>
    <t>gatti_marcelo@yahoo.com.ar</t>
  </si>
  <si>
    <t>WhatsApp Enviado - Flor</t>
  </si>
  <si>
    <t>Mariam Kühnle</t>
  </si>
  <si>
    <t>mkuhnle07@gmail.com</t>
  </si>
  <si>
    <t>lámparas led</t>
  </si>
  <si>
    <t>Ileana S AV</t>
  </si>
  <si>
    <t>ilean.sil@hotmail.com</t>
  </si>
  <si>
    <t>Lucia Silva</t>
  </si>
  <si>
    <t>virginialuciasilva31@gmail.com</t>
  </si>
  <si>
    <t>Quiero saber con que es lo que me recomiendan empezar</t>
  </si>
  <si>
    <t>WhatsApp Enviado - pidio catalgo para revision - Flor</t>
  </si>
  <si>
    <t>maria soledad valdes</t>
  </si>
  <si>
    <t>valdeschick13@gmail.com</t>
  </si>
  <si>
    <t>Quisiera ver todos así puedo ver qué me gustaría revender gracias</t>
  </si>
  <si>
    <t>Debora Cecilia Duarte</t>
  </si>
  <si>
    <t>ceciliada0609@gmail.com</t>
  </si>
  <si>
    <t>En todo para saber precios</t>
  </si>
  <si>
    <t>No figura en Whatsapp, deje mensaje de voz - Flor</t>
  </si>
  <si>
    <t>Andres Lopez</t>
  </si>
  <si>
    <t>san-tec@hotmail.com</t>
  </si>
  <si>
    <t>Rolo Arancibia</t>
  </si>
  <si>
    <t>roloarancibia@hotmail.com</t>
  </si>
  <si>
    <t>Jorgelina Villalba</t>
  </si>
  <si>
    <t>mjvillalba1984@gmail.com</t>
  </si>
  <si>
    <t>Deco hola y bazar. Tengo una Mimbreria. Es para agregar productos.</t>
  </si>
  <si>
    <t>Whatsapp Enviado - Pidio catalogo - Flor</t>
  </si>
  <si>
    <t>Madre Tierra</t>
  </si>
  <si>
    <t>madretierra.patitas@gmail.com</t>
  </si>
  <si>
    <t>Deco, humificadores</t>
  </si>
  <si>
    <t>Andrea Maciera</t>
  </si>
  <si>
    <t>andreamaciera@hotmail.com</t>
  </si>
  <si>
    <t>Yanina Molina</t>
  </si>
  <si>
    <t>yaninamolina_glam@hotmail.es</t>
  </si>
  <si>
    <t>WhatsApp Enviado - flor</t>
  </si>
  <si>
    <t>Cecilia Mroz</t>
  </si>
  <si>
    <t>pazquza30@gmail.com</t>
  </si>
  <si>
    <t>Algo de deco pero sobretodo bazar</t>
  </si>
  <si>
    <t>Gladys Beanatte</t>
  </si>
  <si>
    <t>glabeana@hotmail.com</t>
  </si>
  <si>
    <t>todo lo que entre en el rubro regaleria</t>
  </si>
  <si>
    <t>Valen</t>
  </si>
  <si>
    <t>valentinwasinger@gmail.com</t>
  </si>
  <si>
    <t>Tupper</t>
  </si>
  <si>
    <t>pablo jose senoff</t>
  </si>
  <si>
    <t>casa_tony@hotmail.com</t>
  </si>
  <si>
    <t>buenas</t>
  </si>
  <si>
    <t>Yesica góndola</t>
  </si>
  <si>
    <t>irinagondola@gmail.com</t>
  </si>
  <si>
    <t>Gerardo viegas</t>
  </si>
  <si>
    <t>gviegas46@gmail.com</t>
  </si>
  <si>
    <t>Cinthia</t>
  </si>
  <si>
    <t>cyntya1006@hotmail.com</t>
  </si>
  <si>
    <t>Todo bazar, perdón ví los humoficadores en el post</t>
  </si>
  <si>
    <t>Silvina barroso</t>
  </si>
  <si>
    <t>silvinabarrosolamas10@gmail.com</t>
  </si>
  <si>
    <t>En general</t>
  </si>
  <si>
    <t>Fabiana Lorena</t>
  </si>
  <si>
    <t>fenixlavanderiacentenario@yahoo.com</t>
  </si>
  <si>
    <t>humidificadores y deco</t>
  </si>
  <si>
    <t>Soy Nati emprendedora oficial ESSEN!!!!</t>
  </si>
  <si>
    <t>silviapetru1985@gmail.com</t>
  </si>
  <si>
    <t>Marìa Alejandra Condoleo</t>
  </si>
  <si>
    <t>alejandra.condoleo@gmail.com</t>
  </si>
  <si>
    <t>Lucrecia Andrea Carino</t>
  </si>
  <si>
    <t>carinolucrecia@gmail.com</t>
  </si>
  <si>
    <t>Karina</t>
  </si>
  <si>
    <t>Kinspira.k@gmail.com</t>
  </si>
  <si>
    <t>S.T.M.Servicio.Tecnico.Multimarcas</t>
  </si>
  <si>
    <t>nelsonandres_rd@hotmail.com</t>
  </si>
  <si>
    <t>Cristina Peralta</t>
  </si>
  <si>
    <t>cristyp1984@hotmail.com</t>
  </si>
  <si>
    <t>Brillantes Leales</t>
  </si>
  <si>
    <t>elenaluisanunez88@gmail.com</t>
  </si>
  <si>
    <t>Accesorios para regalos</t>
  </si>
  <si>
    <t>Gabriel Repetto</t>
  </si>
  <si>
    <t>gabirepetto2@gmail.com</t>
  </si>
  <si>
    <t>Mix de lo más reciente con tendencia en el mercado actual</t>
  </si>
  <si>
    <t>En astronautas puede ser?</t>
  </si>
  <si>
    <t>Mariel Viviana</t>
  </si>
  <si>
    <t>marielvivianajoffre@gmail.com</t>
  </si>
  <si>
    <t>Cestos</t>
  </si>
  <si>
    <t>gracieladondi@gmail.com</t>
  </si>
  <si>
    <t>Analia del milagro Juarez</t>
  </si>
  <si>
    <t>juarezanalia20.18@gmail.com</t>
  </si>
  <si>
    <t>imitaciones</t>
  </si>
  <si>
    <t>Noelia Fantino</t>
  </si>
  <si>
    <t>noe_fanti@hotmail.com</t>
  </si>
  <si>
    <t>Federico helios viola</t>
  </si>
  <si>
    <t>fedeheliosmarketing@gmail.com</t>
  </si>
  <si>
    <t>Lista catálogo</t>
  </si>
  <si>
    <t>Marysol Milone</t>
  </si>
  <si>
    <t>marysolmilone@hotmail.com</t>
  </si>
  <si>
    <t>Productos varios productos tendencia</t>
  </si>
  <si>
    <t>SANDRO AGÜERO</t>
  </si>
  <si>
    <t>ssndrook@yahoo.com</t>
  </si>
  <si>
    <t>los de mayor consumo</t>
  </si>
  <si>
    <t>Alan Molina</t>
  </si>
  <si>
    <t>alanernestomolina@gmail.com</t>
  </si>
  <si>
    <t>Productos varios</t>
  </si>
  <si>
    <t>Marita Di Muccio</t>
  </si>
  <si>
    <t>marita.dimuccio@hotmail.es</t>
  </si>
  <si>
    <t>Mmmmm</t>
  </si>
  <si>
    <t>Leila</t>
  </si>
  <si>
    <t>Leilacortes.89@gmail.com</t>
  </si>
  <si>
    <t>Productos virales</t>
  </si>
  <si>
    <t>Lara Viera Nuñez</t>
  </si>
  <si>
    <t>carlosabelferreyra@gmail.com</t>
  </si>
  <si>
    <t>Lisa Karina Nuñez</t>
  </si>
  <si>
    <t>karuhosen@gmail.com</t>
  </si>
  <si>
    <t>catálogo</t>
  </si>
  <si>
    <t>Lucas Alegre</t>
  </si>
  <si>
    <t>lucasalegre957@gmail.com</t>
  </si>
  <si>
    <t>En uno que sea tendencia</t>
  </si>
  <si>
    <t>Cristina Quevedo</t>
  </si>
  <si>
    <t>quevedo.cris@hotmail.com</t>
  </si>
  <si>
    <t>Pablo González</t>
  </si>
  <si>
    <t>gonzlezrocio0@gmail.com</t>
  </si>
  <si>
    <t>N</t>
  </si>
  <si>
    <t>thomas becerra</t>
  </si>
  <si>
    <t>thomasbecerra632@gmail.com</t>
  </si>
  <si>
    <t>JuanMa</t>
  </si>
  <si>
    <t>juanfnforneron@gmail.com</t>
  </si>
  <si>
    <t>Artículos para el hogar</t>
  </si>
  <si>
    <t>Cinthia Santiago</t>
  </si>
  <si>
    <t>cinthia88_santiago@hotmail.com</t>
  </si>
  <si>
    <t>En toda la línea</t>
  </si>
  <si>
    <t>Kery Kek</t>
  </si>
  <si>
    <t>kery_kek@hotmail.com</t>
  </si>
  <si>
    <t>Buen dia. Quisiera ver los productos disponibles.</t>
  </si>
  <si>
    <t>Sandraa Peralta</t>
  </si>
  <si>
    <t>candela.peralta@outlook.es</t>
  </si>
  <si>
    <t>Georgina Medrano</t>
  </si>
  <si>
    <t>georgina_medrano_1987@hotmail.com</t>
  </si>
  <si>
    <t>Santiago Paolasso</t>
  </si>
  <si>
    <t>santypaolasso10@gmail.com</t>
  </si>
  <si>
    <t>Catalogo</t>
  </si>
  <si>
    <t>Franco Javier</t>
  </si>
  <si>
    <t>franco_j_f@hotmail.com</t>
  </si>
  <si>
    <t>Palo Sanchez</t>
  </si>
  <si>
    <t>palosanchez@outlook.com</t>
  </si>
  <si>
    <t>Conocer la marca</t>
  </si>
  <si>
    <t>Fernanda Galletti</t>
  </si>
  <si>
    <t>galletti905@gmail.com</t>
  </si>
  <si>
    <t>Herméticos y un poco de deco</t>
  </si>
  <si>
    <t>Nico Agnoletti</t>
  </si>
  <si>
    <t>nicolasagnoletti.39@gmail.com</t>
  </si>
  <si>
    <t>Jorge Maidana</t>
  </si>
  <si>
    <t>luisjorg925@gmail.com</t>
  </si>
  <si>
    <t>Todo lo que tenga que ver con lampara y humificadores</t>
  </si>
  <si>
    <t>Sonia Arias</t>
  </si>
  <si>
    <t>andrea_28arias@hotmail.com</t>
  </si>
  <si>
    <t>Estoy interesada en difusores</t>
  </si>
  <si>
    <t>Cintia Häcker</t>
  </si>
  <si>
    <t>cintiaestefaniahacker@gmail.com</t>
  </si>
  <si>
    <t>Ivan Sitoo</t>
  </si>
  <si>
    <t>ivangimenez1857@gmail.com</t>
  </si>
  <si>
    <t>Luncheras térmicas</t>
  </si>
  <si>
    <t>Rocio Flores</t>
  </si>
  <si>
    <t>rocio25.lny541@gmail.com</t>
  </si>
  <si>
    <t>Lo más vendido</t>
  </si>
  <si>
    <t>Jacqueline Lazarte</t>
  </si>
  <si>
    <t>jacquelinegisellelazarte@gmail.com</t>
  </si>
  <si>
    <t>Quiero ver que hay.</t>
  </si>
  <si>
    <t>Agustin Indovino</t>
  </si>
  <si>
    <t>a_indovino@hotmail.com</t>
  </si>
  <si>
    <t>Gabriela Beatriz Franco</t>
  </si>
  <si>
    <t>gabrielabeatrizfranco@gmail.com</t>
  </si>
  <si>
    <t>Mir Cruz</t>
  </si>
  <si>
    <t>mirnalauracruz@hotmail.com</t>
  </si>
  <si>
    <t>Tuppers</t>
  </si>
  <si>
    <t>Anto</t>
  </si>
  <si>
    <t>noanimportado@gmail.com</t>
  </si>
  <si>
    <t>Bazar. Decoración, organizador, productos virales</t>
  </si>
  <si>
    <t>Martinez Eugenia</t>
  </si>
  <si>
    <t>mariaeugeniamartinez823@gmail.com</t>
  </si>
  <si>
    <t>Deco jogar</t>
  </si>
  <si>
    <t>Didi Cordoba</t>
  </si>
  <si>
    <t>carlatipper@gmail.com</t>
  </si>
  <si>
    <t>Toros</t>
  </si>
  <si>
    <t>luis angel</t>
  </si>
  <si>
    <t>luisinvs07@gmail.com</t>
  </si>
  <si>
    <t>No tengo uno fijo solo me gustaría tenerlos como proveedor por la variedad de productos q tienen y poder aprovechar q siempre tienen cosas nuevas</t>
  </si>
  <si>
    <t>Carolina Quintar</t>
  </si>
  <si>
    <t>quintarcarolina44@gmail.com</t>
  </si>
  <si>
    <t>Marcela Alejandra Matias</t>
  </si>
  <si>
    <t>matiasmarcelaalejandra@gmail.com</t>
  </si>
  <si>
    <t>Leonor Heredia</t>
  </si>
  <si>
    <t>profe_leonorheredia81@outlook.es</t>
  </si>
  <si>
    <t>Humidificadores y afines</t>
  </si>
  <si>
    <t>Natalia Passarelli</t>
  </si>
  <si>
    <t>janispassarelli@hotmail.com</t>
  </si>
  <si>
    <t>Me interesa salir del común por ejemplo ala vianda termica</t>
  </si>
  <si>
    <t>Emiliano Vargas</t>
  </si>
  <si>
    <t>emilianofamilia5@gmail.com</t>
  </si>
  <si>
    <t>Walter Correa</t>
  </si>
  <si>
    <t>hautos@hotmail.com</t>
  </si>
  <si>
    <t>Decoración hogar y humificadores en principio</t>
  </si>
  <si>
    <t>Cami Noé</t>
  </si>
  <si>
    <t>camilaribarola@gmail.com</t>
  </si>
  <si>
    <t>Valeria Pacheco</t>
  </si>
  <si>
    <t>valeylea2016@gmail.com</t>
  </si>
  <si>
    <t>Marisol Astroza</t>
  </si>
  <si>
    <t>astrozamarisol199@gmail.com</t>
  </si>
  <si>
    <t>Marilyn Ayrala</t>
  </si>
  <si>
    <t>Maryayrala1970@gmail.com</t>
  </si>
  <si>
    <t>Palma Jonatan</t>
  </si>
  <si>
    <t>palma20alejandro20@gmail.com</t>
  </si>
  <si>
    <t>Nahuel Rivass</t>
  </si>
  <si>
    <t>nahuelrivass@gmail.com</t>
  </si>
  <si>
    <t>Gabriel Federico Boso</t>
  </si>
  <si>
    <t>gabrielfedericoboso@gmail.com</t>
  </si>
  <si>
    <t>soy reventa</t>
  </si>
  <si>
    <t>Luismy Bravo</t>
  </si>
  <si>
    <t>duduubravo1469@gmail.com</t>
  </si>
  <si>
    <t>Jonathan Goldin</t>
  </si>
  <si>
    <t>jgoldin@latamtechnology.com.ar</t>
  </si>
  <si>
    <t>Conocer la línea completa</t>
  </si>
  <si>
    <t>Eduardo Prieto</t>
  </si>
  <si>
    <t>edurprieto@hotmail.com</t>
  </si>
  <si>
    <t>Marianela V</t>
  </si>
  <si>
    <t>vencemarianela@gmail.com</t>
  </si>
  <si>
    <t>Deshumidificador.</t>
  </si>
  <si>
    <t>Ignacio Reinoso</t>
  </si>
  <si>
    <t>reinosoignacio96@gmail.com</t>
  </si>
  <si>
    <t>Para el hogar, y cosas útiles para el día día</t>
  </si>
  <si>
    <t>Daniel Grinevald</t>
  </si>
  <si>
    <t>danielgrinevald@gmail.com</t>
  </si>
  <si>
    <t>Lautaro Borra</t>
  </si>
  <si>
    <t>Lautarojborra@gmail.com</t>
  </si>
  <si>
    <t>Estoy averiguando</t>
  </si>
  <si>
    <t>Fer Torres</t>
  </si>
  <si>
    <t>fer_torres@live.com</t>
  </si>
  <si>
    <t>Ideas+ideas</t>
  </si>
  <si>
    <t>carolinagiannino@gmail.com</t>
  </si>
  <si>
    <t>sdx</t>
  </si>
  <si>
    <t>Mar Marcella II</t>
  </si>
  <si>
    <t>marcelaantonini5@gmail.com</t>
  </si>
  <si>
    <t>Deco home</t>
  </si>
  <si>
    <t>Idjebw</t>
  </si>
  <si>
    <t>gabriel310304@hotmail.com</t>
  </si>
  <si>
    <t>Jin</t>
  </si>
  <si>
    <t>lo que resta del dia</t>
  </si>
  <si>
    <t>distribuidoralastinajas1@gmail.com</t>
  </si>
  <si>
    <t>Analia Baro</t>
  </si>
  <si>
    <t>ana_baro75@hotmail.com</t>
  </si>
  <si>
    <t>Gabi sosa</t>
  </si>
  <si>
    <t>gabisaf18@gmail.com</t>
  </si>
  <si>
    <t>Un catalogo me interesa ver</t>
  </si>
  <si>
    <t>Debora Sotelo</t>
  </si>
  <si>
    <t>debo1985@live.com.ar</t>
  </si>
  <si>
    <t>humificadores ,hogar ,sahumerios</t>
  </si>
  <si>
    <t>Nicolle Miguez</t>
  </si>
  <si>
    <t>nicollemiguezz@hotmail.com</t>
  </si>
  <si>
    <t>todos me interesan</t>
  </si>
  <si>
    <t>Gaston Gonzalez</t>
  </si>
  <si>
    <t>gastigonzalez13@gmail.com</t>
  </si>
  <si>
    <t>Me envías algún catálogo?</t>
  </si>
  <si>
    <t>Claudio Moreno</t>
  </si>
  <si>
    <t>alejandropfasiempre@gmail.com</t>
  </si>
  <si>
    <t>quiero ver</t>
  </si>
  <si>
    <t>Emilse Cáceres</t>
  </si>
  <si>
    <t>emilsecaceres25@hotmail.com</t>
  </si>
  <si>
    <t>Maria Valentina Villegas</t>
  </si>
  <si>
    <t>mv295592@gmail.com</t>
  </si>
  <si>
    <t>Surtido</t>
  </si>
  <si>
    <t>صمود</t>
  </si>
  <si>
    <t>facundo.meaurio2005@gmail.com</t>
  </si>
  <si>
    <t>Roo Varas</t>
  </si>
  <si>
    <t>rociovaras00@gmail.com</t>
  </si>
  <si>
    <t>Miguel Yammine</t>
  </si>
  <si>
    <t>ventaslimon@gmail.com</t>
  </si>
  <si>
    <t>Rodrigo Amoroso</t>
  </si>
  <si>
    <t>‪+54 3407667518</t>
  </si>
  <si>
    <t>rodripro54@gmail.com</t>
  </si>
  <si>
    <t>Lau Ana Hermida</t>
  </si>
  <si>
    <t>Laurahermida3@hotmqil.com</t>
  </si>
  <si>
    <t>Quisiera ver todos para decidir</t>
  </si>
  <si>
    <t>Antonella Cantón</t>
  </si>
  <si>
    <t>antocanton10@gmail.com</t>
  </si>
  <si>
    <t>Quiero información</t>
  </si>
  <si>
    <t>marina de Micheli</t>
  </si>
  <si>
    <t>marinaldemicheli31@gmail.com</t>
  </si>
  <si>
    <t>vasos térmicos cosas de cocina tecnologia</t>
  </si>
  <si>
    <t>Mary Rose</t>
  </si>
  <si>
    <t>neggrita1@hotmail.com</t>
  </si>
  <si>
    <t>Cocina hogar</t>
  </si>
  <si>
    <t>Guido Vivono</t>
  </si>
  <si>
    <t>guidovivono10@gmail.com</t>
  </si>
  <si>
    <t>Dario Osuna</t>
  </si>
  <si>
    <t>daro_cxc@live.com</t>
  </si>
  <si>
    <t>Estoy abierto a opciones</t>
  </si>
  <si>
    <t>Luciana Muñoz</t>
  </si>
  <si>
    <t>luchiana11.nair@gmail.com</t>
  </si>
  <si>
    <t>luncheras</t>
  </si>
  <si>
    <t>Avilaabi</t>
  </si>
  <si>
    <t>avilaabigailceleste@gmail.com</t>
  </si>
  <si>
    <t>La lonchera</t>
  </si>
  <si>
    <t>Fernanda</t>
  </si>
  <si>
    <t>Fergramajo90@gmail.com</t>
  </si>
  <si>
    <t>𝕮𝖗𝖎𝖘</t>
  </si>
  <si>
    <t>ezzesuarez64@gmail.com</t>
  </si>
  <si>
    <t>Katherine Vasquez</t>
  </si>
  <si>
    <t>katherinevasquezsantillana@gmail.com</t>
  </si>
  <si>
    <t>Matias Fuentes</t>
  </si>
  <si>
    <t>matiasfordviedma@gmail.com</t>
  </si>
  <si>
    <t>Les dejo mí contacto 2920478141</t>
  </si>
  <si>
    <t>Vabel Deco Home</t>
  </si>
  <si>
    <t>bellovaleris6@gmail.com</t>
  </si>
  <si>
    <t>Ver todos</t>
  </si>
  <si>
    <t>Patricia Nogueron cielito.lindo</t>
  </si>
  <si>
    <t>tatynogueron@gmail.com</t>
  </si>
  <si>
    <t>productos de Deco y cocina como luncheras y demas</t>
  </si>
  <si>
    <t>Esteban</t>
  </si>
  <si>
    <t>estacion17ew@gmail.com</t>
  </si>
  <si>
    <t>Gustavo Edgar Rattaro</t>
  </si>
  <si>
    <t>nahitandistribuidora@gmail.com</t>
  </si>
  <si>
    <t>Escobar Aida</t>
  </si>
  <si>
    <t>mielyoro.dietetica@gmail.com</t>
  </si>
  <si>
    <t>Lucas Martín Paz Bogado</t>
  </si>
  <si>
    <t>pazlucasmartin273@gmail.com</t>
  </si>
  <si>
    <t>En los tuppers</t>
  </si>
  <si>
    <t>Gonza Hank</t>
  </si>
  <si>
    <t>shopglaciar@gmail.com</t>
  </si>
  <si>
    <t>En los que tengan</t>
  </si>
  <si>
    <t>Mirian Ramos</t>
  </si>
  <si>
    <t>mnramosz10@gmail.com</t>
  </si>
  <si>
    <t>mixto</t>
  </si>
  <si>
    <t>MARIA MARCELA TRAINA</t>
  </si>
  <si>
    <t>marce_traina@yahoo.com.ar</t>
  </si>
  <si>
    <t>Regalos originales</t>
  </si>
  <si>
    <t>Maxi Barrios</t>
  </si>
  <si>
    <t>maxibarrios.514@gamil.com</t>
  </si>
  <si>
    <t>Quisiera saber el precio por favor</t>
  </si>
  <si>
    <t>Yanina Amuchastegui</t>
  </si>
  <si>
    <t>yaniamuchastegui@hotmail.com</t>
  </si>
  <si>
    <t>Maria Eugenia González</t>
  </si>
  <si>
    <t>eugenia-26@outlook.com</t>
  </si>
  <si>
    <t>Oscar Ivan Szumkowski</t>
  </si>
  <si>
    <t>szumkowskimarti@gmail.com</t>
  </si>
  <si>
    <t>Florencia Alvarez</t>
  </si>
  <si>
    <t>granolatiendario3@gmail.com</t>
  </si>
  <si>
    <t>En todos los que ofrecen</t>
  </si>
  <si>
    <t>Daniela Chavarria</t>
  </si>
  <si>
    <t>daniela_ivana1@hotmail.com</t>
  </si>
  <si>
    <t>Bazar en general</t>
  </si>
  <si>
    <t>Salomé Gorosito</t>
  </si>
  <si>
    <t>gorosito260@gmail.com</t>
  </si>
  <si>
    <t>Bazar botellas.</t>
  </si>
  <si>
    <t>Susana Peludero</t>
  </si>
  <si>
    <t>susanapeludero@hotmail.com</t>
  </si>
  <si>
    <t>Loncheras</t>
  </si>
  <si>
    <t>Diana Fernandez</t>
  </si>
  <si>
    <t>dianaefernandezph@hotmail.com</t>
  </si>
  <si>
    <t>productos del hogar, electronica, termicos, electrodoméstico</t>
  </si>
  <si>
    <t>Vanesa Cairati</t>
  </si>
  <si>
    <t>vanesacairati@hotmail.com</t>
  </si>
  <si>
    <t>más_de_10_años</t>
  </si>
  <si>
    <t>Humidificador y decoración</t>
  </si>
  <si>
    <t>sergio sandez</t>
  </si>
  <si>
    <t>nano_s08@hotmail.com</t>
  </si>
  <si>
    <t>Natali Centurion</t>
  </si>
  <si>
    <t>nataly_centurion@hotmail.com</t>
  </si>
  <si>
    <t>Buenas noches! Me interesan los productos de cocina y de decoración. Ambos a comenzar un emprendimiento.....</t>
  </si>
  <si>
    <t>Sandra Diaz</t>
  </si>
  <si>
    <t>sandraeditdiaz@hotmail.com</t>
  </si>
  <si>
    <t>Polika Loto</t>
  </si>
  <si>
    <t>lore33vega@gmail.com</t>
  </si>
  <si>
    <t>Sol Garro</t>
  </si>
  <si>
    <t>msoledad.g@hotmail.com</t>
  </si>
  <si>
    <t>RosalesPaola</t>
  </si>
  <si>
    <t>pipina_1974@hotmail.com</t>
  </si>
  <si>
    <t>Decoración de hogar</t>
  </si>
  <si>
    <t>FlorrAguilera</t>
  </si>
  <si>
    <t>flooraguilera18@gmail.com</t>
  </si>
  <si>
    <t>Mati Ferreyra</t>
  </si>
  <si>
    <t>Matiascferreyra@gmail.com</t>
  </si>
  <si>
    <t>Todo el catálogo</t>
  </si>
  <si>
    <t>Beti Carrasco</t>
  </si>
  <si>
    <t>betinacarrasco0@gmail.com</t>
  </si>
  <si>
    <t>Juan</t>
  </si>
  <si>
    <t>jbragoli@hotmail.com</t>
  </si>
  <si>
    <t>Gonzalo Turati</t>
  </si>
  <si>
    <t>turatigonzalo@gmail.com</t>
  </si>
  <si>
    <t>Info</t>
  </si>
  <si>
    <t>Sara Gru</t>
  </si>
  <si>
    <t>sgrutzky@hotmail.com</t>
  </si>
  <si>
    <t>Quiero cosas nuevas! Mi rubro son Tazas, Pero necesito otra cosas novedosas</t>
  </si>
  <si>
    <t>GIRLS' CLUB</t>
  </si>
  <si>
    <t>dambroggio51@gmail.com</t>
  </si>
  <si>
    <t>Analia Vanesa Porcel</t>
  </si>
  <si>
    <t>aniporcel@live.com.ar</t>
  </si>
  <si>
    <t>Aylu</t>
  </si>
  <si>
    <t>alessoaylen6@gmail.com</t>
  </si>
  <si>
    <t>Gaston Ariel Giles</t>
  </si>
  <si>
    <t>gastoong07@gmail.com</t>
  </si>
  <si>
    <t>Catalogo mayorista</t>
  </si>
  <si>
    <t>Cristian Brittos</t>
  </si>
  <si>
    <t>csbrittos@gmail.com</t>
  </si>
  <si>
    <t>María José Risez Álvarez</t>
  </si>
  <si>
    <t>themajitten@gmail.com</t>
  </si>
  <si>
    <t>Todos los artículos de bazar y decoración</t>
  </si>
  <si>
    <t>Martin Avendaño</t>
  </si>
  <si>
    <t>martinazo517@gmail.com</t>
  </si>
  <si>
    <t>Humidificadores y novedades</t>
  </si>
  <si>
    <t>Andre</t>
  </si>
  <si>
    <t>fabisolis33@hotmail.com</t>
  </si>
  <si>
    <t>Bazar,</t>
  </si>
  <si>
    <t>Sabrina Pardo</t>
  </si>
  <si>
    <t>pardosabrina27@gmail.com</t>
  </si>
  <si>
    <t>𝓐𝓰𝓸𝓼𝓽𝓲𝓷𝓪</t>
  </si>
  <si>
    <t>xaneysha@gmail.com</t>
  </si>
  <si>
    <t>hogar shaumerios</t>
  </si>
  <si>
    <t>Carolina Ruiz</t>
  </si>
  <si>
    <t>rcarolinaayelen@gmail.com</t>
  </si>
  <si>
    <t>Silvina Azcurra</t>
  </si>
  <si>
    <t>silvina_n_a@hotmail.com</t>
  </si>
  <si>
    <t>Luciano Coletta</t>
  </si>
  <si>
    <t>colettaluciano810@gmail.com</t>
  </si>
  <si>
    <t>Silvana Verrastro</t>
  </si>
  <si>
    <t>verrastrosilvav@gmail.com</t>
  </si>
  <si>
    <t>Muy interesada en objetos decorativos, bazar con estilo, utilitarios pero con perdonalidad</t>
  </si>
  <si>
    <t>Jazmin Lentini</t>
  </si>
  <si>
    <t>jasminlentini@gmail.com</t>
  </si>
  <si>
    <t>En varios productos</t>
  </si>
  <si>
    <t>Silvina Clauser</t>
  </si>
  <si>
    <t>clausersilvina@gmail.com</t>
  </si>
  <si>
    <t>Sonia Civallero</t>
  </si>
  <si>
    <t>soniac_09@hotmail.com</t>
  </si>
  <si>
    <t>Lo que más se vende</t>
  </si>
  <si>
    <t>JoseCoco | CreadorDigital</t>
  </si>
  <si>
    <t>jgonzalez1868@gmail.com</t>
  </si>
  <si>
    <t>Mary Joe Pena</t>
  </si>
  <si>
    <t>maryjoe@hotmail.com.ar</t>
  </si>
  <si>
    <t>electrónica y electrodomesticos</t>
  </si>
  <si>
    <t>Lusue Esponja</t>
  </si>
  <si>
    <t>joaquinnava364@gmail.com</t>
  </si>
  <si>
    <t>Me gustaria vender todo tipo de producto</t>
  </si>
  <si>
    <t>Eli Eli</t>
  </si>
  <si>
    <t>elito88_lasalle@hotmail.com</t>
  </si>
  <si>
    <t>Algo para vender</t>
  </si>
  <si>
    <t>Shirley Retamoso</t>
  </si>
  <si>
    <t>shirleyretamoso1@hotmail.com</t>
  </si>
  <si>
    <t>Hola me interesa lo que es deco y bazar.</t>
  </si>
  <si>
    <t>Patricio Navarro</t>
  </si>
  <si>
    <t>carmen-veron@hotmail.com</t>
  </si>
  <si>
    <t>Difusores y demás</t>
  </si>
  <si>
    <t>Vicky Ehlert Portal</t>
  </si>
  <si>
    <t>3875 44 5424</t>
  </si>
  <si>
    <t>Vickyehlertportal@icloud.com</t>
  </si>
  <si>
    <t>En todo</t>
  </si>
  <si>
    <t>Matias Menendez</t>
  </si>
  <si>
    <t>matiasmenendez0606@gmail.com</t>
  </si>
  <si>
    <t>Tienda Abuelo MDP</t>
  </si>
  <si>
    <t>tiendaabuelomdp@hotmail.com</t>
  </si>
  <si>
    <t>Art de belleza y bebes</t>
  </si>
  <si>
    <t>Patricia Alejandra Botello</t>
  </si>
  <si>
    <t>circuloalejandra@gmail.com</t>
  </si>
  <si>
    <t>Deco+cocina</t>
  </si>
  <si>
    <t>maria silvina capcias</t>
  </si>
  <si>
    <t>capciassilvina@gmail.com</t>
  </si>
  <si>
    <t>Gomez Gomez</t>
  </si>
  <si>
    <t>ca7456778@gmail.com</t>
  </si>
  <si>
    <t>Todos los productos ❤️🤗741</t>
  </si>
  <si>
    <t>Diaz Enrique Luis</t>
  </si>
  <si>
    <t>toryfabrydiaz5954@gmail.com</t>
  </si>
  <si>
    <t>Maria Silvina Soto</t>
  </si>
  <si>
    <t>mariasilvina_soto@hotmail.com</t>
  </si>
  <si>
    <t>Taty Da Silva</t>
  </si>
  <si>
    <t>tatydasilva4@icloud.com</t>
  </si>
  <si>
    <t>Carolina Rodriguez</t>
  </si>
  <si>
    <t>caroreta3@gmail.com</t>
  </si>
  <si>
    <t>SIlvia</t>
  </si>
  <si>
    <t>silfernandez40@gmail.com</t>
  </si>
  <si>
    <t>En general Anexar algo lindo novedoso</t>
  </si>
  <si>
    <t>Alexis Barraza</t>
  </si>
  <si>
    <t>barrazaalexis01@gmail.com</t>
  </si>
  <si>
    <t>Difuminadores y demás</t>
  </si>
  <si>
    <t>Mariel Marioni</t>
  </si>
  <si>
    <t>marielcoronda@hotmail.com.ar</t>
  </si>
  <si>
    <t>Teresita Beatriz Gonzalez</t>
  </si>
  <si>
    <t>terebgonzales@gmail.com</t>
  </si>
  <si>
    <t>Viandas termicas</t>
  </si>
  <si>
    <t>Emi Flesia</t>
  </si>
  <si>
    <t>mariaemiliaflesia@gmail.com</t>
  </si>
  <si>
    <t>Tuper</t>
  </si>
  <si>
    <t>Agustin Ferreyra</t>
  </si>
  <si>
    <t>aguferreyra95@gmail.com</t>
  </si>
  <si>
    <t>Me interesa todo lo que es deco y bazar tendencia</t>
  </si>
  <si>
    <t>Leonardo peralta</t>
  </si>
  <si>
    <t>leo_junin_1986@hotmail.com</t>
  </si>
  <si>
    <t>Vianda</t>
  </si>
  <si>
    <t>Diego Miranda</t>
  </si>
  <si>
    <t>diego.andresmiranda@hotmail.com</t>
  </si>
  <si>
    <t>Ariel fernandez</t>
  </si>
  <si>
    <t>vanguardia.perfumeria@gmail.com</t>
  </si>
  <si>
    <t>Nico Basualdo</t>
  </si>
  <si>
    <t>nicolasezequielbasualdo@gmail.com</t>
  </si>
  <si>
    <t>Info catálogo lonchera</t>
  </si>
  <si>
    <t>Bene Devo</t>
  </si>
  <si>
    <t>elizabethaldanadon@gmail.com</t>
  </si>
  <si>
    <t>Hola quisiera saber las condiciones para comprar al por mayor</t>
  </si>
  <si>
    <t>Marce Ramos</t>
  </si>
  <si>
    <t>catering.marcela@gmail.com</t>
  </si>
  <si>
    <t>Nayla Caceres</t>
  </si>
  <si>
    <t>naylacaceres2188@gmail.com</t>
  </si>
  <si>
    <t>Taper</t>
  </si>
  <si>
    <t>Barbara Pinharanda</t>
  </si>
  <si>
    <t>pinharandabarbarajunior@gmail.com</t>
  </si>
  <si>
    <t>artículos de cocina y mix completo no se que es un poco de todo</t>
  </si>
  <si>
    <t>ktywsky</t>
  </si>
  <si>
    <t>simbolomenortres@gmail.com</t>
  </si>
  <si>
    <t>P</t>
  </si>
  <si>
    <t>Aldana Martinez</t>
  </si>
  <si>
    <t>aldi.mar.97@gmail.com</t>
  </si>
  <si>
    <t>Nicolás Lorré</t>
  </si>
  <si>
    <t>nicolas.lorre@gmail.com</t>
  </si>
  <si>
    <t>Franco N Castro</t>
  </si>
  <si>
    <t>francozncastro11@gmail.com</t>
  </si>
  <si>
    <t>Quiero un listado mayorista y de productos</t>
  </si>
  <si>
    <t>Keru</t>
  </si>
  <si>
    <t>Kokoamarketing7@gmail.com</t>
  </si>
  <si>
    <t>Ale Martinez</t>
  </si>
  <si>
    <t>alejandra1978martinez1978@gmail.com</t>
  </si>
  <si>
    <t>En todo lo que vendan estoy arrancando y quiero ver que es lo que mas se vende</t>
  </si>
  <si>
    <t>Margui Pintos Kreder</t>
  </si>
  <si>
    <t>marga_95@hotmail.com</t>
  </si>
  <si>
    <t>Humidificadores y recibir catálogo de otros</t>
  </si>
  <si>
    <t>Jennifer</t>
  </si>
  <si>
    <t>grazianjenni@gmail.com</t>
  </si>
  <si>
    <t>Maximiliano Ierardo</t>
  </si>
  <si>
    <t>maximilianoierardo@gmail.com</t>
  </si>
  <si>
    <t>Termos electricoa</t>
  </si>
  <si>
    <t>karynievas@gmail.com</t>
  </si>
  <si>
    <t>Cocina . Bazar . Hogar . Decoración</t>
  </si>
  <si>
    <t>laura emilse gisbert</t>
  </si>
  <si>
    <t>gisbertlaura03@gmail.com</t>
  </si>
  <si>
    <t>decoración hogar</t>
  </si>
  <si>
    <t>Matias Paredes</t>
  </si>
  <si>
    <t>matiasari1994@gmail.com</t>
  </si>
  <si>
    <t>tengo que ver</t>
  </si>
  <si>
    <t>Miguel Cerezuela</t>
  </si>
  <si>
    <t>Unicatiendaderegalos@gmail.com</t>
  </si>
  <si>
    <t>Lunch box</t>
  </si>
  <si>
    <t>Nancy Gomez</t>
  </si>
  <si>
    <t>orianamagalirz@gmail.com</t>
  </si>
  <si>
    <t>bazar en general</t>
  </si>
  <si>
    <t>Clara Ponce</t>
  </si>
  <si>
    <t>claraponceacha@gmail.com</t>
  </si>
  <si>
    <t>Terussi Norma</t>
  </si>
  <si>
    <t>noed.2007@gmail.com</t>
  </si>
  <si>
    <t>Lancheros, botellas,termos</t>
  </si>
  <si>
    <t>Malén Róscolo</t>
  </si>
  <si>
    <t>malenroscolo@gmail.com</t>
  </si>
  <si>
    <t>loncheras</t>
  </si>
  <si>
    <t>teotiendaderegalos@gmail.com</t>
  </si>
  <si>
    <t>Luncheras de acero y todo lo deco</t>
  </si>
  <si>
    <t>Erick Carrasco</t>
  </si>
  <si>
    <t>erickgerardoandres14@gmail.com</t>
  </si>
  <si>
    <t>Artículos en general, es para un polirubro</t>
  </si>
  <si>
    <t>Cook &amp; Love Bazar</t>
  </si>
  <si>
    <t>sebasistem@hotmail.com</t>
  </si>
  <si>
    <t>Viandas</t>
  </si>
  <si>
    <t>Noelia Echalar</t>
  </si>
  <si>
    <t>noe_echalar@hotmail.com</t>
  </si>
  <si>
    <t>Jorge</t>
  </si>
  <si>
    <t>jb_distribuciones@yahoo.com.ar</t>
  </si>
  <si>
    <t>Hola Información gracias</t>
  </si>
  <si>
    <t>Silvia Garcia</t>
  </si>
  <si>
    <t>sil_mgarcia@hotmail.com</t>
  </si>
  <si>
    <t>Astronautas</t>
  </si>
  <si>
    <t>Mᴀʀ Gᴏɴᴢᴀʟᴇᴢ</t>
  </si>
  <si>
    <t>marcela.gonzalez.pagos@gmail.com</t>
  </si>
  <si>
    <t>Mónica Inés rios</t>
  </si>
  <si>
    <t>riosmoni101@gmail.com</t>
  </si>
  <si>
    <t>Art. Para el hogar accesorios para el celular</t>
  </si>
  <si>
    <t>martina medina</t>
  </si>
  <si>
    <t>martimdn02@gmail.com</t>
  </si>
  <si>
    <t>N Constanza Cárdenas Prado</t>
  </si>
  <si>
    <t>nidiacardenas91@gmail.com</t>
  </si>
  <si>
    <t>bazar en general, productos en tendencia o virales de buena calidad</t>
  </si>
  <si>
    <t>Gastón Nahuel Alejandro Delceggio</t>
  </si>
  <si>
    <t>calcasio16@gmail.com</t>
  </si>
  <si>
    <t>DOLORES KARINA PONCE</t>
  </si>
  <si>
    <t>mcddistribuidores@gmail.com</t>
  </si>
  <si>
    <t>Me gustaría obtener una lista de precios ya que estoy armando mi negocio online .</t>
  </si>
  <si>
    <t>Paola Sosa</t>
  </si>
  <si>
    <t>paolamilagrossosapaola-17@hotmail.com</t>
  </si>
  <si>
    <t>nelson david valiente</t>
  </si>
  <si>
    <t>nelson202000.ndm@gmail.com</t>
  </si>
  <si>
    <t>en los taper en la publicidad</t>
  </si>
  <si>
    <t>Rocket5</t>
  </si>
  <si>
    <t>ariel.costantino@gmail.com</t>
  </si>
  <si>
    <t>Quisiera que me envíen catálogo de productos y precios mayoristas por favor. Gracias</t>
  </si>
  <si>
    <t>Sebastian Romero</t>
  </si>
  <si>
    <t>newcompanynl@gmail.com</t>
  </si>
  <si>
    <t>Bazar , Deco</t>
  </si>
  <si>
    <t>Silvana Sonzogni</t>
  </si>
  <si>
    <t>pupi_soni@hotmail.com</t>
  </si>
  <si>
    <t>En varios</t>
  </si>
  <si>
    <t>Majo Perez</t>
  </si>
  <si>
    <t>mjperez759@outlook.com</t>
  </si>
  <si>
    <t>Gabi Vergara</t>
  </si>
  <si>
    <t>gabrielavergara743@gmail.com</t>
  </si>
  <si>
    <t>quiero emprender</t>
  </si>
  <si>
    <t>MyC shopp</t>
  </si>
  <si>
    <t>celestegonzalez003@gmail.com</t>
  </si>
  <si>
    <t>Quería saber los productos que tienen</t>
  </si>
  <si>
    <t>Marcelo Gaucher</t>
  </si>
  <si>
    <t>marcelogaucher@hotmail.com.ar</t>
  </si>
  <si>
    <t>Maria Isabel</t>
  </si>
  <si>
    <t>merloisabel356@gmail.com</t>
  </si>
  <si>
    <t>Desiree Nancy Albacete Lopez</t>
  </si>
  <si>
    <t>anaolivia290917@gmail.com</t>
  </si>
  <si>
    <t>Anto Touye</t>
  </si>
  <si>
    <t>antonelatouyeron@gmail.com</t>
  </si>
  <si>
    <t>Fernanda Gimenez</t>
  </si>
  <si>
    <t>ferchu161078@hotmail.com</t>
  </si>
  <si>
    <t>ROMINA PULSONI</t>
  </si>
  <si>
    <t>rominapulsoni@hotmail.com</t>
  </si>
  <si>
    <t>Estoy arrancando una tienda online y quiero variedad</t>
  </si>
  <si>
    <t>Emilia Aliendro</t>
  </si>
  <si>
    <t>emialiendro@hotmail.com</t>
  </si>
  <si>
    <t>Ana Re</t>
  </si>
  <si>
    <t>ana_re20_02@yahoo.com.ar</t>
  </si>
  <si>
    <t>Humificadores y perfumes</t>
  </si>
  <si>
    <t>Etelvina Verzero</t>
  </si>
  <si>
    <t>etelagusver@gmail.com</t>
  </si>
  <si>
    <t>Valeria</t>
  </si>
  <si>
    <t>e53solucionesinmobiliarias@gmail.com</t>
  </si>
  <si>
    <t>Tupper hermético</t>
  </si>
  <si>
    <t>Recicl-arte</t>
  </si>
  <si>
    <t>marcelomastronardi7@gmail.com</t>
  </si>
  <si>
    <t>Deouhificadores</t>
  </si>
  <si>
    <t>Casalys</t>
  </si>
  <si>
    <t>chacha_salduende@hotmail.com</t>
  </si>
  <si>
    <t>Ramiro Flores</t>
  </si>
  <si>
    <t>nasara.constructora@gmail.com</t>
  </si>
  <si>
    <t>kkkkk</t>
  </si>
  <si>
    <t>Verito Frisina</t>
  </si>
  <si>
    <t>veronicafrisina@hotmail.com</t>
  </si>
  <si>
    <t>Brenda López</t>
  </si>
  <si>
    <t>Yose Zerpa</t>
  </si>
  <si>
    <t>yoselizerpa@gmail.com</t>
  </si>
  <si>
    <t>vianda her.etica</t>
  </si>
  <si>
    <t>Agustina Etchegaray</t>
  </si>
  <si>
    <t>aetchegaray1@abc.gob.ar</t>
  </si>
  <si>
    <t>May Traynor</t>
  </si>
  <si>
    <t>almendradeco09@gmail.com</t>
  </si>
  <si>
    <t>Gustavo Rosito</t>
  </si>
  <si>
    <t>gustavorosito@gmail.com</t>
  </si>
  <si>
    <t>En el del posteo.</t>
  </si>
  <si>
    <t>Murales - Cuadros</t>
  </si>
  <si>
    <t>karinaperez1968@gmail.com</t>
  </si>
  <si>
    <t>Me interesan los humidificadores y debería ver más de la tienda porq seguro tenés algo más que quiero</t>
  </si>
  <si>
    <t>Joaquin Galiano</t>
  </si>
  <si>
    <t>galianojoaquinlautaro@gmail.com</t>
  </si>
  <si>
    <t>Electrodomésticos pequeños, accesorios para celulares Apple, decoración, artículos del hogar, tendencias</t>
  </si>
  <si>
    <t>Daniela Barrera</t>
  </si>
  <si>
    <t>danibarrera78@hotmail.com</t>
  </si>
  <si>
    <t>Bazar y decoración de hogar</t>
  </si>
  <si>
    <t>Angeles Silva</t>
  </si>
  <si>
    <t>mariayjose_02@hotmail.com</t>
  </si>
  <si>
    <t>articulos de cocina</t>
  </si>
  <si>
    <t>Daniela Cupello</t>
  </si>
  <si>
    <t>daniela_cupello@hotmail.com</t>
  </si>
  <si>
    <t>ver innovaciones</t>
  </si>
  <si>
    <t>Carlos Gerardo Barra</t>
  </si>
  <si>
    <t>cgbarra023@gmail.com</t>
  </si>
  <si>
    <t>Om Shanti.Tienda Holística</t>
  </si>
  <si>
    <t>omshanti.lt.7777@gmail.com</t>
  </si>
  <si>
    <t>Holistico. Humidificadores. Aromaterapia. Iluminación deco.</t>
  </si>
  <si>
    <t>Lag Bazar</t>
  </si>
  <si>
    <t>perezboidanich@hotmail.com</t>
  </si>
  <si>
    <t>Ampliar mi catálogo, en todos</t>
  </si>
  <si>
    <t>Elisa Elizabeth</t>
  </si>
  <si>
    <t>elisaecomparin@hotmail.com</t>
  </si>
  <si>
    <t>Todo lo que sea decoración</t>
  </si>
  <si>
    <t>Enamorate De Tí</t>
  </si>
  <si>
    <t>lau.ma.lu@hotmail.com</t>
  </si>
  <si>
    <t>Colgantes de cuentas o adornos para ventanas Sahumerios Humificadores Lámparas de sal</t>
  </si>
  <si>
    <t>Monik Carrasco</t>
  </si>
  <si>
    <t>monick.carrasco@hotmail.com</t>
  </si>
  <si>
    <t>Unificadores</t>
  </si>
  <si>
    <t>Angel Celiz</t>
  </si>
  <si>
    <t>celizangel18@gmail.com</t>
  </si>
  <si>
    <t>Andrea Culana</t>
  </si>
  <si>
    <t>andre198000@hotmail.com</t>
  </si>
  <si>
    <t>humidificadores y artículos de bazar y decoración</t>
  </si>
  <si>
    <t>Victoria Guerra Desseignet</t>
  </si>
  <si>
    <t>victoriaguerra_22@hotmail.com</t>
  </si>
  <si>
    <t>Gabriela Herrera</t>
  </si>
  <si>
    <t>22gabrielaherrera@gmail.com</t>
  </si>
  <si>
    <t>Strudel Cima</t>
  </si>
  <si>
    <t>marysu106@hotmail.com</t>
  </si>
  <si>
    <t>Maria Angelica Herrero</t>
  </si>
  <si>
    <t>educastelli59@hotmail.com</t>
  </si>
  <si>
    <t>tengo un paseo de compras con articulos varios</t>
  </si>
  <si>
    <t>celina gonzalez</t>
  </si>
  <si>
    <t>porotitoagus@gmail.com</t>
  </si>
  <si>
    <t>Diego Roberto Vera</t>
  </si>
  <si>
    <t>diegomaster25@outlook.com</t>
  </si>
  <si>
    <t>Ignacio Almiron</t>
  </si>
  <si>
    <t>ignacioalmiron35@gmail.com</t>
  </si>
  <si>
    <t>Facundo Fleischer</t>
  </si>
  <si>
    <t>elgauchito008@hotmail.com</t>
  </si>
  <si>
    <t>Maximiliano Sanchez</t>
  </si>
  <si>
    <t>sanchezmaximilianoj@gmail.com</t>
  </si>
  <si>
    <t>Rodrigo Ezequiel</t>
  </si>
  <si>
    <t>Cerone.re@gmail.com</t>
  </si>
  <si>
    <t>Alan Saganias</t>
  </si>
  <si>
    <t>Lalansaganias@gmail.com</t>
  </si>
  <si>
    <t>basat</t>
  </si>
  <si>
    <t>Yoga.Carina</t>
  </si>
  <si>
    <t>reinacarina9@gmail.com</t>
  </si>
  <si>
    <t>Alicia Correa</t>
  </si>
  <si>
    <t>alicorrea82@gmail.com</t>
  </si>
  <si>
    <t>Evangelina Albarracin</t>
  </si>
  <si>
    <t>larosaserp@yahoo.com.ar</t>
  </si>
  <si>
    <t>Silvia Gonzalez</t>
  </si>
  <si>
    <t>gonzalez.l.silvia@gmail.com</t>
  </si>
  <si>
    <t>Olga Utrera</t>
  </si>
  <si>
    <t>olga2023vm@gmail.com</t>
  </si>
  <si>
    <t>algo renovador</t>
  </si>
  <si>
    <t>Muebles Moldes</t>
  </si>
  <si>
    <t>adrianaluciaaoad@gmail.com</t>
  </si>
  <si>
    <t>Pablo Cardozo</t>
  </si>
  <si>
    <t>carpablo.121@gmail.com</t>
  </si>
  <si>
    <t>Info en general</t>
  </si>
  <si>
    <t>Patricia Santucho</t>
  </si>
  <si>
    <t>patriciaasantucho@gmail.com</t>
  </si>
  <si>
    <t>en los más vendidos</t>
  </si>
  <si>
    <t>Alan</t>
  </si>
  <si>
    <t>xpandix09@gmail.com</t>
  </si>
  <si>
    <t>Quiero ver catálogo</t>
  </si>
  <si>
    <t>Karina Wonner</t>
  </si>
  <si>
    <t>karina_won@hotmail.com</t>
  </si>
  <si>
    <t>Todo lo relacionado a spa, pero quiero ver todo, estoy armando una estética , estoy consultando para agregar cosas</t>
  </si>
  <si>
    <t>Cami Movane</t>
  </si>
  <si>
    <t>camiesea18@gmail.com</t>
  </si>
  <si>
    <t>decoración y bazar</t>
  </si>
  <si>
    <t>Lorena Garcia</t>
  </si>
  <si>
    <t>renatabecaaz@gmail.com</t>
  </si>
  <si>
    <t>Juan Milohanich</t>
  </si>
  <si>
    <t>juanmilohanich@donjuansrl.com.ar</t>
  </si>
  <si>
    <t>Herméticos</t>
  </si>
  <si>
    <t>Marina Andrade</t>
  </si>
  <si>
    <t>marinalu80@hotmail.com</t>
  </si>
  <si>
    <t>Vi la publi de los productos de cocina</t>
  </si>
  <si>
    <t>Nadia E Presti</t>
  </si>
  <si>
    <t>nadiapresti73@gmail.com</t>
  </si>
  <si>
    <t>Griselda Arenas Bonansea</t>
  </si>
  <si>
    <t>ruliarenas@hotmail.com</t>
  </si>
  <si>
    <t>Deco e iluminacion</t>
  </si>
  <si>
    <t>Juan Manuel Mares</t>
  </si>
  <si>
    <t>maresjuanmanuel21@gmail.com</t>
  </si>
  <si>
    <t>Cosas de bazar, ver lista de precios</t>
  </si>
  <si>
    <t>lorena Paola Villafañe</t>
  </si>
  <si>
    <t>lorena.villaf@yahoo.com.ar</t>
  </si>
  <si>
    <t>decoración de hogar y cocina</t>
  </si>
  <si>
    <t>Graciela Cáceres</t>
  </si>
  <si>
    <t>graciela.caceres@gmail.com</t>
  </si>
  <si>
    <t>Andrés Migueles</t>
  </si>
  <si>
    <t>agmigue@hotmail.com</t>
  </si>
  <si>
    <t>artículos bebe</t>
  </si>
  <si>
    <t>Gonzalo Rossi</t>
  </si>
  <si>
    <t>gonzalitoodeballes@hotmail.com</t>
  </si>
  <si>
    <t>Quiero humificadores</t>
  </si>
  <si>
    <t>Junior Glanzel</t>
  </si>
  <si>
    <t>Juniornataglanzel@gmail.com</t>
  </si>
  <si>
    <t>Gladys Susana Reyes</t>
  </si>
  <si>
    <t>bellezahoy@hotmail.com</t>
  </si>
  <si>
    <t>Vane Blanco</t>
  </si>
  <si>
    <t>ricardoerrotabere@outlook.com</t>
  </si>
  <si>
    <t>humificadores, led, etc</t>
  </si>
  <si>
    <t>Agustina</t>
  </si>
  <si>
    <t>Mazza.agustina4@gmail.com</t>
  </si>
  <si>
    <t>Lista de precios</t>
  </si>
  <si>
    <t>Alex Morete</t>
  </si>
  <si>
    <t>alexmorete1996@gmail.com</t>
  </si>
  <si>
    <t>Juliana Sgammini</t>
  </si>
  <si>
    <t>sgamminijuliana@gmail.com</t>
  </si>
  <si>
    <t>debora</t>
  </si>
  <si>
    <t>zurlodebora@yahoo.com</t>
  </si>
  <si>
    <t>Hola en humificadores</t>
  </si>
  <si>
    <t>Blanqueria &amp; Deco - Modo Home</t>
  </si>
  <si>
    <t>Mfemenias@abc.gob.ar</t>
  </si>
  <si>
    <t>Azar y Deco</t>
  </si>
  <si>
    <t>Mauricio Bertolotto</t>
  </si>
  <si>
    <t>mauri_berto@hotmail.com</t>
  </si>
  <si>
    <t>LISTA VIGENTE</t>
  </si>
  <si>
    <t>Ricardo Ruggeri</t>
  </si>
  <si>
    <t>rarruggeri@hotmail.com</t>
  </si>
  <si>
    <t>Variados</t>
  </si>
  <si>
    <t>Agus Rodriguez Garcia</t>
  </si>
  <si>
    <t>agurodriguezgarcia@gmail.com</t>
  </si>
  <si>
    <t>sobre todo en cosas de cocina</t>
  </si>
  <si>
    <t>Silvia Estela Manavella</t>
  </si>
  <si>
    <t>manavellasilvia49@gmail.com</t>
  </si>
  <si>
    <t>electronica</t>
  </si>
  <si>
    <t>Guillermo Martin Esteche</t>
  </si>
  <si>
    <t>estepepepe@gmail.com</t>
  </si>
  <si>
    <t>regalaría, santería ...</t>
  </si>
  <si>
    <t>Mica Novik</t>
  </si>
  <si>
    <t>micaelanovik1@gmail.com</t>
  </si>
  <si>
    <t>Nicolas Joel Schaab</t>
  </si>
  <si>
    <t>Nikjoel333@gmail.con</t>
  </si>
  <si>
    <t>Esenciales Shop</t>
  </si>
  <si>
    <t>hola.esencialesshop@gmail.com</t>
  </si>
  <si>
    <t>Estoy empezando mi emprendimiento y me gustaría contar con información sobre los productos que Uds comercializan. Gracias</t>
  </si>
  <si>
    <t>DUNAHOME | Deco Home</t>
  </si>
  <si>
    <t>varoneoriana@gmaim.com</t>
  </si>
  <si>
    <t>Luncheras</t>
  </si>
  <si>
    <t>Claudia Mabel Lara</t>
  </si>
  <si>
    <t>lclaudiamabel@gmail.com</t>
  </si>
  <si>
    <t>en todos los productos</t>
  </si>
  <si>
    <t>luis</t>
  </si>
  <si>
    <t>devotoluis31@gmail.com</t>
  </si>
  <si>
    <t>Humificadores. Igual en todo lo que tengan</t>
  </si>
  <si>
    <t>Reino de Bohemia</t>
  </si>
  <si>
    <t>giselasorrentino@hotmail.com</t>
  </si>
  <si>
    <t>Cecilia Ducca</t>
  </si>
  <si>
    <t>ceciliaducca@gmail.com</t>
  </si>
  <si>
    <t>Susana Lalitto</t>
  </si>
  <si>
    <t>susanalalitto@gmail.com</t>
  </si>
  <si>
    <t>Biomanci Biomanci</t>
  </si>
  <si>
    <t>biomanci@gmail.com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</si>
</sst>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b/>
      <color theme="1"/>
      <name val="Arial"/>
      <scheme val="minor"/>
    </font>
    <font>
      <color theme="1"/>
      <name val="Arial"/>
      <scheme val="minor"/>
    </font>
    <font>
      <color theme="1"/>
      <name val="Verdana"/>
    </font>
    <font>
      <u/>
      <sz val="11.0"/>
      <color rgb="FF0000FF"/>
      <name val="Calibri"/>
    </font>
    <font>
      <u/>
      <color rgb="FF0000FF"/>
      <name val="Verdana"/>
    </font>
    <font>
      <color theme="1"/>
      <name val="Arial"/>
    </font>
    <font>
      <sz val="11.0"/>
      <color rgb="FF000000"/>
      <name val="Calibri"/>
    </font>
  </fonts>
  <fills count="5">
    <fill>
      <patternFill patternType="none"/>
    </fill>
    <fill>
      <patternFill patternType="lightGray"/>
    </fill>
    <fill>
      <patternFill patternType="solid">
        <fgColor rgb="FFCFE2F3"/>
        <bgColor rgb="FFCFE2F3"/>
      </patternFill>
    </fill>
    <fill>
      <patternFill patternType="solid">
        <fgColor rgb="FFB6D7A8"/>
        <bgColor rgb="FFB6D7A8"/>
      </patternFill>
    </fill>
    <fill>
      <patternFill patternType="solid">
        <fgColor rgb="FFFFFFFF"/>
        <bgColor rgb="FFFFFF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right" readingOrder="0"/>
    </xf>
    <xf borderId="0" fillId="3" fontId="1" numFmtId="0" xfId="0" applyAlignment="1" applyFill="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horizontal="right" readingOrder="0"/>
    </xf>
    <xf borderId="0" fillId="0" fontId="3" numFmtId="0" xfId="0" applyAlignment="1" applyFont="1">
      <alignment horizontal="left" readingOrder="0" shrinkToFit="0" vertical="bottom" wrapText="0"/>
    </xf>
    <xf borderId="0" fillId="0" fontId="2" numFmtId="0" xfId="0" applyAlignment="1" applyFont="1">
      <alignment horizontal="right"/>
    </xf>
    <xf borderId="0" fillId="0" fontId="2" numFmtId="0" xfId="0" applyAlignment="1" applyFont="1">
      <alignment horizontal="left" readingOrder="0" shrinkToFit="0" vertical="bottom" wrapText="0"/>
    </xf>
    <xf borderId="0" fillId="0" fontId="2" numFmtId="0" xfId="0" applyAlignment="1" applyFont="1">
      <alignment horizontal="right" shrinkToFit="0" vertical="bottom" wrapText="0"/>
    </xf>
    <xf borderId="0" fillId="0" fontId="2" numFmtId="0" xfId="0" applyAlignment="1" applyFont="1">
      <alignment horizontal="right" readingOrder="0" shrinkToFit="0" vertical="bottom" wrapText="0"/>
    </xf>
    <xf borderId="0" fillId="4" fontId="2" numFmtId="0" xfId="0" applyAlignment="1" applyFill="1" applyFont="1">
      <alignment horizontal="left" readingOrder="0" shrinkToFit="0" vertical="bottom" wrapText="0"/>
    </xf>
    <xf borderId="0" fillId="4" fontId="2" numFmtId="0" xfId="0" applyAlignment="1" applyFont="1">
      <alignment horizontal="right" shrinkToFit="0" vertical="bottom" wrapText="0"/>
    </xf>
    <xf borderId="0" fillId="4" fontId="2" numFmtId="0" xfId="0" applyAlignment="1" applyFont="1">
      <alignment readingOrder="0"/>
    </xf>
    <xf borderId="0" fillId="4" fontId="2" numFmtId="0" xfId="0" applyFont="1"/>
    <xf borderId="0" fillId="4" fontId="2" numFmtId="0" xfId="0" applyAlignment="1" applyFont="1">
      <alignment horizontal="right" shrinkToFit="0" vertical="bottom" wrapText="0"/>
    </xf>
    <xf borderId="0" fillId="4" fontId="2" numFmtId="0" xfId="0" applyAlignment="1" applyFont="1">
      <alignment horizontal="right" readingOrder="0" shrinkToFit="0" vertical="bottom" wrapText="0"/>
    </xf>
    <xf borderId="0" fillId="4" fontId="2" numFmtId="164" xfId="0" applyAlignment="1" applyFont="1" applyNumberFormat="1">
      <alignment readingOrder="0"/>
    </xf>
    <xf borderId="0" fillId="4" fontId="3" numFmtId="0" xfId="0" applyAlignment="1" applyFont="1">
      <alignment horizontal="left" readingOrder="0" shrinkToFit="0" vertical="bottom" wrapText="0"/>
    </xf>
    <xf borderId="0" fillId="4" fontId="3" numFmtId="0" xfId="0" applyAlignment="1" applyFont="1">
      <alignment horizontal="right" shrinkToFit="0" vertical="bottom" wrapText="0"/>
    </xf>
    <xf borderId="0" fillId="0" fontId="3" numFmtId="0" xfId="0" applyAlignment="1" applyFont="1">
      <alignment horizontal="right" shrinkToFit="0" vertical="bottom" wrapText="0"/>
    </xf>
    <xf borderId="0" fillId="0" fontId="3" numFmtId="0" xfId="0" applyAlignment="1" applyFont="1">
      <alignment horizontal="right" shrinkToFit="0" vertical="bottom" wrapText="0"/>
    </xf>
    <xf borderId="0" fillId="0" fontId="3" numFmtId="0" xfId="0" applyAlignment="1" applyFont="1">
      <alignment horizontal="right" readingOrder="0" shrinkToFit="0" vertical="bottom" wrapText="0"/>
    </xf>
    <xf borderId="0" fillId="4" fontId="3" numFmtId="0" xfId="0" applyAlignment="1" applyFont="1">
      <alignment horizontal="right" readingOrder="0" shrinkToFit="0" vertical="bottom" wrapText="0"/>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3" numFmtId="164" xfId="0" applyAlignment="1" applyFont="1" applyNumberFormat="1">
      <alignment horizontal="right" readingOrder="0" shrinkToFit="0" vertical="bottom" wrapText="0"/>
    </xf>
    <xf borderId="0" fillId="4" fontId="6" numFmtId="0" xfId="0" applyAlignment="1" applyFont="1">
      <alignment vertical="bottom"/>
    </xf>
    <xf borderId="0" fillId="0" fontId="3" numFmtId="0" xfId="0" applyAlignment="1" applyFont="1">
      <alignment horizontal="left" readingOrder="0" shrinkToFit="0" vertical="bottom" wrapText="0"/>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bastian Elias" id="{1ed8461a-0f28-4db3-9f02-257fcee4ea6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 dT="2025-10-30T20:49:34.00" personId="{1ed8461a-0f28-4db3-9f02-257fcee4ea67}" id="{d2d17f85-bfa6-45b8-b6b9-9917194f539c}" done="0">
    <x18tc:text xml:space="preserve">EJEMPLOS:
*no anda el tel
*no anda el mail
*no es interesante
*charlando/potable
*bueno
*cotizamos
*cliente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baltalujansuarez@gmail.com" TargetMode="External"/><Relationship Id="rId5" Type="http://schemas.openxmlformats.org/officeDocument/2006/relationships/hyperlink" Target="http://regaloscononda.com"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2.38"/>
    <col customWidth="1" min="3" max="3" width="24.0"/>
    <col customWidth="1" min="4" max="4" width="42.13"/>
    <col customWidth="1" min="5" max="5" width="25.38"/>
    <col customWidth="1" min="6" max="6" width="28.25"/>
    <col customWidth="1" min="7" max="7" width="33.63"/>
    <col customWidth="1" min="8" max="8" width="33.88"/>
    <col customWidth="1" min="9" max="9" width="111.0"/>
    <col customWidth="1" min="10" max="10" width="88.63"/>
    <col customWidth="1" min="11" max="11" width="25.0"/>
    <col customWidth="1" min="12" max="12" width="29.88"/>
    <col customWidth="1" min="13" max="13" width="14.75"/>
    <col customWidth="1" min="14" max="14" width="21.63"/>
  </cols>
  <sheetData>
    <row r="1">
      <c r="A1" s="1" t="s">
        <v>0</v>
      </c>
      <c r="B1" s="1" t="s">
        <v>1</v>
      </c>
      <c r="C1" s="2" t="s">
        <v>2</v>
      </c>
      <c r="D1" s="1" t="s">
        <v>3</v>
      </c>
      <c r="E1" s="1" t="s">
        <v>4</v>
      </c>
      <c r="F1" s="1" t="s">
        <v>5</v>
      </c>
      <c r="G1" s="1" t="s">
        <v>6</v>
      </c>
      <c r="H1" s="1" t="s">
        <v>7</v>
      </c>
      <c r="I1" s="1" t="s">
        <v>8</v>
      </c>
      <c r="J1" s="3" t="s">
        <v>9</v>
      </c>
      <c r="K1" s="1" t="s">
        <v>10</v>
      </c>
      <c r="L1" s="1" t="s">
        <v>11</v>
      </c>
      <c r="M1" s="1" t="s">
        <v>12</v>
      </c>
      <c r="N1" s="1" t="s">
        <v>13</v>
      </c>
    </row>
    <row r="2">
      <c r="A2" s="4">
        <v>45919.0</v>
      </c>
      <c r="B2" s="5" t="s">
        <v>14</v>
      </c>
      <c r="C2" s="6">
        <v>5.41138776681E11</v>
      </c>
      <c r="D2" s="5" t="s">
        <v>15</v>
      </c>
      <c r="E2" s="5" t="s">
        <v>16</v>
      </c>
      <c r="F2" s="5" t="s">
        <v>17</v>
      </c>
      <c r="G2" s="5" t="s">
        <v>18</v>
      </c>
    </row>
    <row r="3">
      <c r="A3" s="4">
        <v>45919.0</v>
      </c>
      <c r="B3" s="5" t="s">
        <v>19</v>
      </c>
      <c r="C3" s="6">
        <v>5.4116478271E11</v>
      </c>
      <c r="D3" s="5" t="s">
        <v>20</v>
      </c>
      <c r="E3" s="5" t="s">
        <v>16</v>
      </c>
      <c r="F3" s="5" t="s">
        <v>21</v>
      </c>
      <c r="G3" s="5" t="s">
        <v>18</v>
      </c>
    </row>
    <row r="4">
      <c r="A4" s="4">
        <v>45919.0</v>
      </c>
      <c r="B4" s="5" t="s">
        <v>22</v>
      </c>
      <c r="C4" s="6">
        <v>1.136575051E9</v>
      </c>
      <c r="D4" s="5" t="s">
        <v>23</v>
      </c>
      <c r="E4" s="5" t="s">
        <v>24</v>
      </c>
      <c r="F4" s="5" t="s">
        <v>17</v>
      </c>
      <c r="G4" s="5" t="s">
        <v>25</v>
      </c>
    </row>
    <row r="5">
      <c r="A5" s="4">
        <v>45919.0</v>
      </c>
      <c r="B5" s="5" t="s">
        <v>26</v>
      </c>
      <c r="C5" s="6">
        <v>5.43875233284E11</v>
      </c>
      <c r="D5" s="5" t="s">
        <v>27</v>
      </c>
      <c r="E5" s="5" t="s">
        <v>24</v>
      </c>
      <c r="F5" s="5" t="s">
        <v>17</v>
      </c>
      <c r="G5" s="5" t="s">
        <v>25</v>
      </c>
    </row>
    <row r="6">
      <c r="A6" s="4">
        <v>45919.0</v>
      </c>
      <c r="B6" s="5" t="s">
        <v>28</v>
      </c>
      <c r="C6" s="6">
        <v>5.491157290826E12</v>
      </c>
      <c r="D6" s="5" t="s">
        <v>29</v>
      </c>
      <c r="E6" s="5" t="s">
        <v>24</v>
      </c>
      <c r="F6" s="5" t="s">
        <v>17</v>
      </c>
      <c r="G6" s="5" t="s">
        <v>25</v>
      </c>
    </row>
    <row r="7">
      <c r="A7" s="4">
        <v>45920.0</v>
      </c>
      <c r="B7" s="5" t="s">
        <v>30</v>
      </c>
      <c r="C7" s="6">
        <v>5.41149281589E11</v>
      </c>
      <c r="D7" s="5" t="s">
        <v>31</v>
      </c>
      <c r="E7" s="5" t="s">
        <v>16</v>
      </c>
      <c r="F7" s="5" t="s">
        <v>32</v>
      </c>
      <c r="G7" s="5" t="s">
        <v>18</v>
      </c>
    </row>
    <row r="8">
      <c r="A8" s="4">
        <v>45920.0</v>
      </c>
      <c r="B8" s="5" t="s">
        <v>33</v>
      </c>
      <c r="C8" s="6">
        <v>5.43491468161E11</v>
      </c>
      <c r="D8" s="5" t="s">
        <v>34</v>
      </c>
      <c r="E8" s="5" t="s">
        <v>16</v>
      </c>
      <c r="F8" s="5" t="s">
        <v>17</v>
      </c>
      <c r="G8" s="5" t="s">
        <v>25</v>
      </c>
    </row>
    <row r="9">
      <c r="A9" s="4">
        <v>45920.0</v>
      </c>
      <c r="B9" s="5" t="s">
        <v>35</v>
      </c>
      <c r="C9" s="6">
        <v>5.41156539077E11</v>
      </c>
      <c r="D9" s="5" t="s">
        <v>36</v>
      </c>
      <c r="E9" s="5" t="s">
        <v>16</v>
      </c>
      <c r="F9" s="5" t="s">
        <v>21</v>
      </c>
      <c r="G9" s="5" t="s">
        <v>25</v>
      </c>
    </row>
    <row r="10">
      <c r="A10" s="4">
        <v>45920.0</v>
      </c>
      <c r="B10" s="5" t="s">
        <v>37</v>
      </c>
      <c r="C10" s="6">
        <v>5.41124624612E11</v>
      </c>
      <c r="D10" s="5" t="s">
        <v>38</v>
      </c>
      <c r="E10" s="5" t="s">
        <v>39</v>
      </c>
      <c r="F10" s="5" t="s">
        <v>21</v>
      </c>
      <c r="G10" s="5" t="s">
        <v>25</v>
      </c>
    </row>
    <row r="11">
      <c r="A11" s="4">
        <v>45920.0</v>
      </c>
      <c r="B11" s="5" t="s">
        <v>40</v>
      </c>
      <c r="C11" s="6">
        <v>5.41153422239E11</v>
      </c>
      <c r="D11" s="5" t="s">
        <v>41</v>
      </c>
      <c r="E11" s="5" t="s">
        <v>24</v>
      </c>
      <c r="F11" s="5" t="s">
        <v>21</v>
      </c>
      <c r="G11" s="5" t="s">
        <v>25</v>
      </c>
    </row>
    <row r="12">
      <c r="A12" s="4">
        <v>45920.0</v>
      </c>
      <c r="B12" s="5" t="s">
        <v>42</v>
      </c>
      <c r="C12" s="6">
        <v>5.43517560707E11</v>
      </c>
      <c r="D12" s="5" t="s">
        <v>43</v>
      </c>
      <c r="E12" s="5" t="s">
        <v>24</v>
      </c>
      <c r="F12" s="5" t="s">
        <v>32</v>
      </c>
      <c r="G12" s="5" t="s">
        <v>25</v>
      </c>
    </row>
    <row r="13">
      <c r="A13" s="4">
        <v>45920.0</v>
      </c>
      <c r="B13" s="5" t="s">
        <v>44</v>
      </c>
      <c r="C13" s="6">
        <v>5.401169836164E12</v>
      </c>
      <c r="D13" s="5" t="s">
        <v>45</v>
      </c>
      <c r="E13" s="5" t="s">
        <v>24</v>
      </c>
      <c r="F13" s="5" t="s">
        <v>32</v>
      </c>
      <c r="G13" s="5" t="s">
        <v>18</v>
      </c>
      <c r="H13" s="7"/>
    </row>
    <row r="14">
      <c r="A14" s="4">
        <v>45920.0</v>
      </c>
      <c r="B14" s="5" t="s">
        <v>46</v>
      </c>
      <c r="C14" s="6">
        <v>5.401131365566E12</v>
      </c>
      <c r="D14" s="5" t="s">
        <v>47</v>
      </c>
      <c r="E14" s="5" t="s">
        <v>16</v>
      </c>
      <c r="F14" s="5" t="s">
        <v>17</v>
      </c>
      <c r="G14" s="5" t="s">
        <v>18</v>
      </c>
      <c r="H14" s="7"/>
    </row>
    <row r="15">
      <c r="A15" s="4">
        <v>45920.0</v>
      </c>
      <c r="B15" s="5" t="s">
        <v>48</v>
      </c>
      <c r="C15" s="6">
        <v>5.41141495167E11</v>
      </c>
      <c r="D15" s="5" t="s">
        <v>49</v>
      </c>
      <c r="E15" s="5" t="s">
        <v>39</v>
      </c>
      <c r="F15" s="5" t="s">
        <v>21</v>
      </c>
      <c r="G15" s="5" t="s">
        <v>25</v>
      </c>
      <c r="H15" s="7"/>
    </row>
    <row r="16">
      <c r="A16" s="4">
        <v>45920.0</v>
      </c>
      <c r="B16" s="5" t="s">
        <v>50</v>
      </c>
      <c r="C16" s="6">
        <v>5.42325409705E11</v>
      </c>
      <c r="D16" s="5" t="s">
        <v>51</v>
      </c>
      <c r="E16" s="5" t="s">
        <v>24</v>
      </c>
      <c r="F16" s="5" t="s">
        <v>21</v>
      </c>
      <c r="G16" s="5" t="s">
        <v>25</v>
      </c>
      <c r="H16" s="7"/>
    </row>
    <row r="17">
      <c r="A17" s="4">
        <v>45920.0</v>
      </c>
      <c r="B17" s="5" t="s">
        <v>52</v>
      </c>
      <c r="C17" s="6">
        <v>5.41126713649E11</v>
      </c>
      <c r="D17" s="5" t="s">
        <v>53</v>
      </c>
      <c r="E17" s="5" t="s">
        <v>39</v>
      </c>
      <c r="F17" s="5" t="s">
        <v>21</v>
      </c>
      <c r="G17" s="5" t="s">
        <v>25</v>
      </c>
    </row>
    <row r="18">
      <c r="A18" s="4">
        <v>45920.0</v>
      </c>
      <c r="B18" s="5" t="s">
        <v>54</v>
      </c>
      <c r="C18" s="8">
        <f>541120637566
</f>
        <v>541120637566</v>
      </c>
      <c r="D18" s="5" t="s">
        <v>55</v>
      </c>
      <c r="E18" s="5" t="s">
        <v>39</v>
      </c>
      <c r="F18" s="5" t="s">
        <v>21</v>
      </c>
      <c r="G18" s="5" t="s">
        <v>25</v>
      </c>
    </row>
    <row r="19">
      <c r="A19" s="4">
        <v>45921.0</v>
      </c>
      <c r="B19" s="5" t="s">
        <v>56</v>
      </c>
      <c r="C19" s="6">
        <v>5.43484408841E11</v>
      </c>
      <c r="D19" s="5" t="s">
        <v>57</v>
      </c>
      <c r="E19" s="5" t="s">
        <v>24</v>
      </c>
      <c r="F19" s="5" t="s">
        <v>21</v>
      </c>
      <c r="G19" s="5" t="s">
        <v>58</v>
      </c>
    </row>
    <row r="20">
      <c r="A20" s="4">
        <v>45921.0</v>
      </c>
      <c r="B20" s="5" t="s">
        <v>59</v>
      </c>
      <c r="C20" s="6">
        <v>5.43364005511E11</v>
      </c>
      <c r="D20" s="5" t="s">
        <v>60</v>
      </c>
      <c r="E20" s="5" t="s">
        <v>24</v>
      </c>
      <c r="F20" s="5" t="s">
        <v>21</v>
      </c>
      <c r="G20" s="5" t="s">
        <v>25</v>
      </c>
    </row>
    <row r="21">
      <c r="A21" s="4">
        <v>45921.0</v>
      </c>
      <c r="B21" s="5" t="s">
        <v>61</v>
      </c>
      <c r="C21" s="6">
        <v>5.42664698119E11</v>
      </c>
      <c r="D21" s="5" t="s">
        <v>62</v>
      </c>
      <c r="E21" s="5" t="s">
        <v>24</v>
      </c>
      <c r="F21" s="5" t="s">
        <v>21</v>
      </c>
      <c r="G21" s="5" t="s">
        <v>25</v>
      </c>
    </row>
    <row r="22">
      <c r="A22" s="4">
        <v>45921.0</v>
      </c>
      <c r="B22" s="5" t="s">
        <v>63</v>
      </c>
      <c r="C22" s="6">
        <v>5.41130645957E11</v>
      </c>
      <c r="D22" s="5" t="s">
        <v>64</v>
      </c>
      <c r="E22" s="5" t="s">
        <v>39</v>
      </c>
      <c r="F22" s="5" t="s">
        <v>32</v>
      </c>
      <c r="G22" s="5" t="s">
        <v>58</v>
      </c>
    </row>
    <row r="23">
      <c r="A23" s="4">
        <v>45921.0</v>
      </c>
      <c r="B23" s="5" t="s">
        <v>65</v>
      </c>
      <c r="C23" s="6">
        <v>5.41138326964E11</v>
      </c>
      <c r="D23" s="5" t="s">
        <v>66</v>
      </c>
      <c r="E23" s="5" t="s">
        <v>24</v>
      </c>
      <c r="F23" s="5" t="s">
        <v>21</v>
      </c>
      <c r="G23" s="5" t="s">
        <v>58</v>
      </c>
    </row>
    <row r="24">
      <c r="A24" s="4">
        <v>45921.0</v>
      </c>
      <c r="B24" s="5" t="s">
        <v>67</v>
      </c>
      <c r="C24" s="6">
        <v>3.544430597E9</v>
      </c>
      <c r="D24" s="5" t="s">
        <v>68</v>
      </c>
      <c r="E24" s="5" t="s">
        <v>39</v>
      </c>
      <c r="F24" s="5" t="s">
        <v>21</v>
      </c>
      <c r="G24" s="5" t="s">
        <v>25</v>
      </c>
    </row>
    <row r="25">
      <c r="A25" s="4">
        <v>45921.0</v>
      </c>
      <c r="B25" s="5" t="s">
        <v>69</v>
      </c>
      <c r="C25" s="6">
        <v>5.42616966378E11</v>
      </c>
      <c r="D25" s="5" t="s">
        <v>70</v>
      </c>
      <c r="E25" s="5" t="s">
        <v>39</v>
      </c>
      <c r="F25" s="5" t="s">
        <v>17</v>
      </c>
      <c r="G25" s="5" t="s">
        <v>25</v>
      </c>
    </row>
    <row r="26">
      <c r="A26" s="4">
        <v>45922.0</v>
      </c>
      <c r="B26" s="5" t="s">
        <v>71</v>
      </c>
      <c r="C26" s="6">
        <v>5.42994631665E11</v>
      </c>
      <c r="D26" s="5" t="s">
        <v>72</v>
      </c>
      <c r="E26" s="5" t="s">
        <v>39</v>
      </c>
      <c r="F26" s="5" t="s">
        <v>21</v>
      </c>
      <c r="G26" s="5" t="s">
        <v>25</v>
      </c>
    </row>
    <row r="27">
      <c r="A27" s="4">
        <v>45922.0</v>
      </c>
      <c r="B27" s="5" t="s">
        <v>73</v>
      </c>
      <c r="C27" s="6">
        <v>5.43804109038E11</v>
      </c>
      <c r="D27" s="5" t="s">
        <v>74</v>
      </c>
      <c r="E27" s="5" t="s">
        <v>39</v>
      </c>
      <c r="F27" s="5" t="s">
        <v>21</v>
      </c>
      <c r="G27" s="5" t="s">
        <v>25</v>
      </c>
    </row>
    <row r="28">
      <c r="A28" s="4">
        <v>45922.0</v>
      </c>
      <c r="B28" s="5" t="s">
        <v>75</v>
      </c>
      <c r="C28" s="6">
        <v>5.43446215207E11</v>
      </c>
      <c r="D28" s="5" t="s">
        <v>76</v>
      </c>
      <c r="E28" s="5" t="s">
        <v>24</v>
      </c>
      <c r="F28" s="5" t="s">
        <v>21</v>
      </c>
      <c r="G28" s="5" t="s">
        <v>25</v>
      </c>
    </row>
    <row r="29">
      <c r="A29" s="4">
        <v>45922.0</v>
      </c>
      <c r="B29" s="5" t="s">
        <v>77</v>
      </c>
      <c r="C29" s="6">
        <v>5.42262631648E11</v>
      </c>
      <c r="D29" s="5" t="s">
        <v>78</v>
      </c>
      <c r="E29" s="5" t="s">
        <v>24</v>
      </c>
      <c r="F29" s="5" t="s">
        <v>21</v>
      </c>
      <c r="G29" s="5" t="s">
        <v>25</v>
      </c>
    </row>
    <row r="30">
      <c r="A30" s="4">
        <v>45922.0</v>
      </c>
      <c r="B30" s="5" t="s">
        <v>79</v>
      </c>
      <c r="C30" s="6">
        <v>3.875108856E9</v>
      </c>
      <c r="D30" s="5" t="s">
        <v>80</v>
      </c>
      <c r="E30" s="5" t="s">
        <v>24</v>
      </c>
      <c r="F30" s="5" t="s">
        <v>21</v>
      </c>
      <c r="G30" s="5" t="s">
        <v>25</v>
      </c>
    </row>
    <row r="31">
      <c r="A31" s="4">
        <v>45922.0</v>
      </c>
      <c r="B31" s="5" t="s">
        <v>81</v>
      </c>
      <c r="C31" s="6">
        <v>5.43834084329E11</v>
      </c>
      <c r="D31" s="5" t="s">
        <v>82</v>
      </c>
      <c r="E31" s="5" t="s">
        <v>24</v>
      </c>
      <c r="F31" s="5" t="s">
        <v>17</v>
      </c>
      <c r="G31" s="5" t="s">
        <v>25</v>
      </c>
    </row>
    <row r="32">
      <c r="A32" s="4">
        <v>45922.0</v>
      </c>
      <c r="B32" s="5" t="s">
        <v>83</v>
      </c>
      <c r="C32" s="6">
        <v>5.41154112133E11</v>
      </c>
      <c r="D32" s="5" t="s">
        <v>84</v>
      </c>
      <c r="E32" s="5" t="s">
        <v>24</v>
      </c>
      <c r="F32" s="5" t="s">
        <v>21</v>
      </c>
      <c r="G32" s="5" t="s">
        <v>25</v>
      </c>
    </row>
    <row r="33">
      <c r="A33" s="4">
        <v>45922.0</v>
      </c>
      <c r="B33" s="5" t="s">
        <v>85</v>
      </c>
      <c r="C33" s="6">
        <v>5.41168854931E11</v>
      </c>
      <c r="D33" s="5" t="s">
        <v>86</v>
      </c>
      <c r="E33" s="5" t="s">
        <v>16</v>
      </c>
      <c r="F33" s="5" t="s">
        <v>21</v>
      </c>
      <c r="G33" s="5" t="s">
        <v>25</v>
      </c>
    </row>
    <row r="34">
      <c r="A34" s="4">
        <v>45922.0</v>
      </c>
      <c r="B34" s="5" t="s">
        <v>87</v>
      </c>
      <c r="C34" s="6">
        <v>1.163592386E9</v>
      </c>
      <c r="D34" s="5" t="s">
        <v>88</v>
      </c>
      <c r="E34" s="5" t="s">
        <v>24</v>
      </c>
      <c r="F34" s="5" t="s">
        <v>21</v>
      </c>
      <c r="G34" s="5" t="s">
        <v>25</v>
      </c>
    </row>
    <row r="35">
      <c r="A35" s="4">
        <v>45922.0</v>
      </c>
      <c r="B35" s="5" t="s">
        <v>89</v>
      </c>
      <c r="C35" s="6">
        <v>5.491165833738E12</v>
      </c>
      <c r="D35" s="5" t="s">
        <v>90</v>
      </c>
      <c r="E35" s="5" t="s">
        <v>24</v>
      </c>
      <c r="F35" s="5" t="s">
        <v>21</v>
      </c>
      <c r="G35" s="5" t="s">
        <v>25</v>
      </c>
    </row>
    <row r="36">
      <c r="A36" s="4">
        <v>45922.0</v>
      </c>
      <c r="B36" s="5" t="s">
        <v>91</v>
      </c>
      <c r="C36" s="6">
        <v>5.4226840556E11</v>
      </c>
      <c r="D36" s="5" t="s">
        <v>92</v>
      </c>
      <c r="E36" s="5" t="s">
        <v>39</v>
      </c>
      <c r="F36" s="5" t="s">
        <v>32</v>
      </c>
      <c r="G36" s="5" t="s">
        <v>25</v>
      </c>
    </row>
    <row r="37">
      <c r="A37" s="4">
        <v>45922.0</v>
      </c>
      <c r="B37" s="5" t="s">
        <v>93</v>
      </c>
      <c r="C37" s="8">
        <f>5492474554309
</f>
        <v>5492474554309</v>
      </c>
      <c r="D37" s="5" t="s">
        <v>94</v>
      </c>
      <c r="E37" s="5" t="s">
        <v>39</v>
      </c>
      <c r="F37" s="5" t="s">
        <v>21</v>
      </c>
      <c r="G37" s="5" t="s">
        <v>25</v>
      </c>
    </row>
    <row r="38">
      <c r="A38" s="4">
        <v>45922.0</v>
      </c>
      <c r="B38" s="5" t="s">
        <v>95</v>
      </c>
      <c r="C38" s="6">
        <v>5.43446671736E11</v>
      </c>
      <c r="D38" s="5" t="s">
        <v>96</v>
      </c>
      <c r="E38" s="5" t="s">
        <v>39</v>
      </c>
      <c r="F38" s="5" t="s">
        <v>17</v>
      </c>
      <c r="G38" s="5" t="s">
        <v>25</v>
      </c>
    </row>
    <row r="39">
      <c r="A39" s="4">
        <v>45922.0</v>
      </c>
      <c r="B39" s="5" t="s">
        <v>97</v>
      </c>
      <c r="C39" s="6">
        <v>5.43471592556E11</v>
      </c>
      <c r="D39" s="5" t="s">
        <v>98</v>
      </c>
      <c r="E39" s="5" t="s">
        <v>39</v>
      </c>
      <c r="F39" s="5" t="s">
        <v>21</v>
      </c>
      <c r="G39" s="5" t="s">
        <v>25</v>
      </c>
    </row>
    <row r="40">
      <c r="A40" s="4">
        <v>45922.0</v>
      </c>
      <c r="B40" s="5" t="s">
        <v>99</v>
      </c>
      <c r="C40" s="6">
        <v>5.43741442043E11</v>
      </c>
      <c r="D40" s="5" t="s">
        <v>100</v>
      </c>
      <c r="E40" s="5" t="s">
        <v>39</v>
      </c>
      <c r="F40" s="5" t="s">
        <v>21</v>
      </c>
      <c r="G40" s="5" t="s">
        <v>25</v>
      </c>
    </row>
    <row r="41">
      <c r="A41" s="4">
        <v>45922.0</v>
      </c>
      <c r="B41" s="5" t="s">
        <v>101</v>
      </c>
      <c r="C41" s="6">
        <v>5.43516781886E11</v>
      </c>
      <c r="D41" s="5" t="s">
        <v>102</v>
      </c>
      <c r="E41" s="5" t="s">
        <v>39</v>
      </c>
      <c r="F41" s="5" t="s">
        <v>21</v>
      </c>
      <c r="G41" s="5" t="s">
        <v>18</v>
      </c>
    </row>
    <row r="42">
      <c r="A42" s="4">
        <v>45922.0</v>
      </c>
      <c r="B42" s="5" t="s">
        <v>103</v>
      </c>
      <c r="C42" s="6">
        <v>5.43468561256E11</v>
      </c>
      <c r="D42" s="5" t="s">
        <v>104</v>
      </c>
      <c r="E42" s="5" t="s">
        <v>16</v>
      </c>
      <c r="F42" s="5" t="s">
        <v>21</v>
      </c>
      <c r="G42" s="5" t="s">
        <v>18</v>
      </c>
    </row>
    <row r="43">
      <c r="A43" s="4">
        <v>45922.0</v>
      </c>
      <c r="B43" s="5" t="s">
        <v>105</v>
      </c>
      <c r="C43" s="6">
        <v>5.43413934444E11</v>
      </c>
      <c r="D43" s="5" t="s">
        <v>106</v>
      </c>
      <c r="E43" s="5" t="s">
        <v>39</v>
      </c>
      <c r="F43" s="5" t="s">
        <v>21</v>
      </c>
      <c r="G43" s="5" t="s">
        <v>25</v>
      </c>
    </row>
    <row r="44">
      <c r="A44" s="4">
        <v>45922.0</v>
      </c>
      <c r="B44" s="5" t="s">
        <v>107</v>
      </c>
      <c r="C44" s="6">
        <v>5.492235656333E12</v>
      </c>
      <c r="D44" s="5" t="s">
        <v>108</v>
      </c>
      <c r="E44" s="5" t="s">
        <v>16</v>
      </c>
      <c r="F44" s="5" t="s">
        <v>21</v>
      </c>
      <c r="G44" s="5" t="s">
        <v>18</v>
      </c>
    </row>
    <row r="45">
      <c r="A45" s="4">
        <v>45922.0</v>
      </c>
      <c r="B45" s="5" t="s">
        <v>109</v>
      </c>
      <c r="C45" s="6">
        <v>5.41124645775E11</v>
      </c>
      <c r="D45" s="5" t="s">
        <v>110</v>
      </c>
      <c r="E45" s="5" t="s">
        <v>24</v>
      </c>
      <c r="F45" s="5" t="s">
        <v>21</v>
      </c>
      <c r="G45" s="5" t="s">
        <v>25</v>
      </c>
    </row>
    <row r="46">
      <c r="A46" s="4">
        <v>45923.0</v>
      </c>
      <c r="B46" s="5" t="s">
        <v>111</v>
      </c>
      <c r="C46" s="6">
        <v>5.41127765127E11</v>
      </c>
      <c r="D46" s="5" t="s">
        <v>112</v>
      </c>
      <c r="E46" s="5" t="s">
        <v>24</v>
      </c>
      <c r="F46" s="5" t="s">
        <v>21</v>
      </c>
      <c r="G46" s="5" t="s">
        <v>25</v>
      </c>
    </row>
    <row r="47">
      <c r="A47" s="4">
        <v>45923.0</v>
      </c>
      <c r="B47" s="5" t="s">
        <v>113</v>
      </c>
      <c r="C47" s="6">
        <v>5.493512678633E12</v>
      </c>
      <c r="D47" s="5" t="s">
        <v>114</v>
      </c>
      <c r="E47" s="5" t="s">
        <v>24</v>
      </c>
      <c r="F47" s="5" t="s">
        <v>21</v>
      </c>
      <c r="G47" s="5" t="s">
        <v>18</v>
      </c>
    </row>
    <row r="48">
      <c r="A48" s="4">
        <v>45923.0</v>
      </c>
      <c r="B48" s="5" t="s">
        <v>115</v>
      </c>
      <c r="C48" s="6">
        <v>5.43513522268E11</v>
      </c>
      <c r="D48" s="5" t="s">
        <v>116</v>
      </c>
      <c r="E48" s="5" t="s">
        <v>16</v>
      </c>
      <c r="F48" s="5" t="s">
        <v>21</v>
      </c>
      <c r="G48" s="5" t="s">
        <v>25</v>
      </c>
    </row>
    <row r="49">
      <c r="A49" s="4">
        <v>45923.0</v>
      </c>
      <c r="B49" s="5" t="s">
        <v>117</v>
      </c>
      <c r="C49" s="6">
        <v>5.42954311E11</v>
      </c>
      <c r="D49" s="5" t="s">
        <v>118</v>
      </c>
      <c r="E49" s="5" t="s">
        <v>24</v>
      </c>
      <c r="F49" s="5" t="s">
        <v>21</v>
      </c>
      <c r="G49" s="5" t="s">
        <v>18</v>
      </c>
    </row>
    <row r="50">
      <c r="A50" s="4">
        <v>45923.0</v>
      </c>
      <c r="B50" s="5" t="s">
        <v>119</v>
      </c>
      <c r="C50" s="6">
        <v>5.411319693E11</v>
      </c>
      <c r="D50" s="5" t="s">
        <v>120</v>
      </c>
      <c r="E50" s="5" t="s">
        <v>24</v>
      </c>
      <c r="F50" s="5" t="s">
        <v>21</v>
      </c>
      <c r="G50" s="5" t="s">
        <v>25</v>
      </c>
    </row>
    <row r="51">
      <c r="A51" s="4">
        <v>45923.0</v>
      </c>
      <c r="B51" s="5" t="s">
        <v>121</v>
      </c>
      <c r="C51" s="6">
        <v>5.41124567961E11</v>
      </c>
      <c r="D51" s="5" t="s">
        <v>122</v>
      </c>
      <c r="E51" s="5" t="s">
        <v>24</v>
      </c>
      <c r="F51" s="5" t="s">
        <v>21</v>
      </c>
      <c r="G51" s="5" t="s">
        <v>25</v>
      </c>
    </row>
    <row r="52">
      <c r="A52" s="4">
        <v>45923.0</v>
      </c>
      <c r="B52" s="5" t="s">
        <v>123</v>
      </c>
      <c r="C52" s="6">
        <v>5.491158638512E12</v>
      </c>
      <c r="D52" s="5" t="s">
        <v>124</v>
      </c>
      <c r="E52" s="5" t="s">
        <v>24</v>
      </c>
      <c r="F52" s="5" t="s">
        <v>17</v>
      </c>
      <c r="G52" s="5" t="s">
        <v>18</v>
      </c>
    </row>
    <row r="53">
      <c r="A53" s="4">
        <v>45923.0</v>
      </c>
      <c r="B53" s="5" t="s">
        <v>125</v>
      </c>
      <c r="C53" s="6">
        <v>5.41169557564E11</v>
      </c>
      <c r="D53" s="5" t="s">
        <v>126</v>
      </c>
      <c r="E53" s="5" t="s">
        <v>39</v>
      </c>
      <c r="F53" s="5" t="s">
        <v>32</v>
      </c>
      <c r="G53" s="5" t="s">
        <v>25</v>
      </c>
    </row>
    <row r="54">
      <c r="A54" s="4">
        <v>45923.0</v>
      </c>
      <c r="B54" s="5" t="s">
        <v>127</v>
      </c>
      <c r="C54" s="6">
        <v>5.41161474323E11</v>
      </c>
      <c r="D54" s="5" t="s">
        <v>128</v>
      </c>
      <c r="E54" s="5" t="s">
        <v>16</v>
      </c>
      <c r="F54" s="5" t="s">
        <v>21</v>
      </c>
      <c r="G54" s="5" t="s">
        <v>25</v>
      </c>
    </row>
    <row r="55">
      <c r="A55" s="4">
        <v>45923.0</v>
      </c>
      <c r="B55" s="5" t="s">
        <v>129</v>
      </c>
      <c r="C55" s="6">
        <v>5.493515516988E12</v>
      </c>
      <c r="D55" s="5" t="s">
        <v>130</v>
      </c>
      <c r="E55" s="5" t="s">
        <v>16</v>
      </c>
      <c r="F55" s="5" t="s">
        <v>21</v>
      </c>
      <c r="G55" s="5" t="s">
        <v>25</v>
      </c>
    </row>
    <row r="56">
      <c r="A56" s="4">
        <v>45923.0</v>
      </c>
      <c r="B56" s="5" t="s">
        <v>131</v>
      </c>
      <c r="C56" s="6">
        <v>5.41125201621E11</v>
      </c>
      <c r="D56" s="5" t="s">
        <v>132</v>
      </c>
      <c r="E56" s="5" t="s">
        <v>16</v>
      </c>
      <c r="F56" s="5" t="s">
        <v>21</v>
      </c>
      <c r="G56" s="5" t="s">
        <v>25</v>
      </c>
    </row>
    <row r="57">
      <c r="A57" s="4">
        <v>45923.0</v>
      </c>
      <c r="B57" s="5" t="s">
        <v>133</v>
      </c>
      <c r="C57" s="6">
        <v>5.42616639237E11</v>
      </c>
      <c r="D57" s="5" t="s">
        <v>134</v>
      </c>
      <c r="E57" s="5" t="s">
        <v>39</v>
      </c>
      <c r="F57" s="5" t="s">
        <v>21</v>
      </c>
      <c r="G57" s="5" t="s">
        <v>25</v>
      </c>
    </row>
    <row r="58">
      <c r="A58" s="4">
        <v>45923.0</v>
      </c>
      <c r="B58" s="5" t="s">
        <v>135</v>
      </c>
      <c r="C58" s="6">
        <v>5.41128158197E11</v>
      </c>
      <c r="D58" s="5" t="s">
        <v>136</v>
      </c>
      <c r="E58" s="5" t="s">
        <v>16</v>
      </c>
      <c r="F58" s="5" t="s">
        <v>21</v>
      </c>
      <c r="G58" s="5" t="s">
        <v>18</v>
      </c>
    </row>
    <row r="59">
      <c r="A59" s="4">
        <v>45923.0</v>
      </c>
      <c r="B59" s="5" t="s">
        <v>137</v>
      </c>
      <c r="C59" s="6">
        <v>5.41134981E11</v>
      </c>
      <c r="D59" s="5" t="s">
        <v>138</v>
      </c>
      <c r="E59" s="5" t="s">
        <v>24</v>
      </c>
      <c r="F59" s="5" t="s">
        <v>21</v>
      </c>
      <c r="G59" s="5" t="s">
        <v>25</v>
      </c>
    </row>
    <row r="60">
      <c r="A60" s="4">
        <v>45923.0</v>
      </c>
      <c r="B60" s="5" t="s">
        <v>139</v>
      </c>
      <c r="C60" s="6">
        <v>5.49113783841E12</v>
      </c>
      <c r="D60" s="5" t="s">
        <v>140</v>
      </c>
      <c r="E60" s="5" t="s">
        <v>39</v>
      </c>
      <c r="F60" s="5" t="s">
        <v>21</v>
      </c>
      <c r="G60" s="5" t="s">
        <v>18</v>
      </c>
    </row>
    <row r="61">
      <c r="A61" s="4">
        <v>45924.0</v>
      </c>
      <c r="B61" s="5" t="s">
        <v>141</v>
      </c>
      <c r="C61" s="6">
        <v>5.41131918009E11</v>
      </c>
      <c r="D61" s="5" t="s">
        <v>142</v>
      </c>
      <c r="E61" s="5" t="s">
        <v>16</v>
      </c>
      <c r="F61" s="5" t="s">
        <v>21</v>
      </c>
      <c r="G61" s="5" t="s">
        <v>25</v>
      </c>
    </row>
    <row r="62">
      <c r="A62" s="4">
        <v>45924.0</v>
      </c>
      <c r="B62" s="5" t="s">
        <v>143</v>
      </c>
      <c r="C62" s="6">
        <v>5.41140853825E11</v>
      </c>
      <c r="D62" s="5" t="s">
        <v>144</v>
      </c>
      <c r="E62" s="5" t="s">
        <v>16</v>
      </c>
      <c r="F62" s="5" t="s">
        <v>21</v>
      </c>
      <c r="G62" s="5" t="s">
        <v>25</v>
      </c>
    </row>
    <row r="63">
      <c r="A63" s="4">
        <v>45924.0</v>
      </c>
      <c r="B63" s="5" t="s">
        <v>145</v>
      </c>
      <c r="C63" s="6">
        <v>5.43834197094E11</v>
      </c>
      <c r="D63" s="5" t="s">
        <v>146</v>
      </c>
      <c r="E63" s="5" t="s">
        <v>39</v>
      </c>
      <c r="F63" s="5" t="s">
        <v>21</v>
      </c>
      <c r="G63" s="5" t="s">
        <v>18</v>
      </c>
    </row>
    <row r="64">
      <c r="A64" s="4">
        <v>45924.0</v>
      </c>
      <c r="B64" s="5" t="s">
        <v>147</v>
      </c>
      <c r="C64" s="6">
        <v>5.41139461897E11</v>
      </c>
      <c r="D64" s="5" t="s">
        <v>148</v>
      </c>
      <c r="E64" s="5" t="s">
        <v>39</v>
      </c>
      <c r="F64" s="5" t="s">
        <v>21</v>
      </c>
      <c r="G64" s="5" t="s">
        <v>25</v>
      </c>
    </row>
    <row r="65">
      <c r="A65" s="4">
        <v>45924.0</v>
      </c>
      <c r="B65" s="5" t="s">
        <v>149</v>
      </c>
      <c r="C65" s="6">
        <v>5.42664572715E11</v>
      </c>
      <c r="D65" s="5" t="s">
        <v>150</v>
      </c>
      <c r="E65" s="5" t="s">
        <v>16</v>
      </c>
      <c r="F65" s="5" t="s">
        <v>21</v>
      </c>
      <c r="G65" s="5" t="s">
        <v>25</v>
      </c>
    </row>
    <row r="66">
      <c r="A66" s="4">
        <v>45924.0</v>
      </c>
      <c r="B66" s="5" t="s">
        <v>151</v>
      </c>
      <c r="C66" s="6">
        <v>5.43462339218E11</v>
      </c>
      <c r="D66" s="5" t="s">
        <v>152</v>
      </c>
      <c r="E66" s="5" t="s">
        <v>24</v>
      </c>
      <c r="F66" s="5" t="s">
        <v>21</v>
      </c>
      <c r="G66" s="5" t="s">
        <v>25</v>
      </c>
    </row>
    <row r="67">
      <c r="A67" s="4">
        <v>45924.0</v>
      </c>
      <c r="B67" s="5" t="s">
        <v>153</v>
      </c>
      <c r="C67" s="6">
        <v>5.42604590943E11</v>
      </c>
      <c r="D67" s="5" t="s">
        <v>154</v>
      </c>
      <c r="E67" s="5" t="s">
        <v>39</v>
      </c>
      <c r="F67" s="5" t="s">
        <v>21</v>
      </c>
      <c r="G67" s="5" t="s">
        <v>18</v>
      </c>
    </row>
    <row r="68">
      <c r="A68" s="4">
        <v>45924.0</v>
      </c>
      <c r="B68" s="5" t="s">
        <v>155</v>
      </c>
      <c r="C68" s="6">
        <v>5.43584848308E11</v>
      </c>
      <c r="D68" s="5" t="s">
        <v>156</v>
      </c>
      <c r="E68" s="5" t="s">
        <v>24</v>
      </c>
      <c r="F68" s="5" t="s">
        <v>21</v>
      </c>
      <c r="G68" s="5" t="s">
        <v>25</v>
      </c>
    </row>
    <row r="69">
      <c r="A69" s="4">
        <v>45924.0</v>
      </c>
      <c r="B69" s="5" t="s">
        <v>157</v>
      </c>
      <c r="C69" s="6">
        <v>5.43424448481E11</v>
      </c>
      <c r="D69" s="5" t="s">
        <v>158</v>
      </c>
      <c r="E69" s="5" t="s">
        <v>24</v>
      </c>
      <c r="F69" s="5" t="s">
        <v>21</v>
      </c>
      <c r="G69" s="5" t="s">
        <v>18</v>
      </c>
    </row>
    <row r="70">
      <c r="A70" s="4">
        <v>45924.0</v>
      </c>
      <c r="B70" s="5" t="s">
        <v>159</v>
      </c>
      <c r="C70" s="6">
        <v>5.43445472425E11</v>
      </c>
      <c r="D70" s="5" t="s">
        <v>160</v>
      </c>
      <c r="E70" s="5" t="s">
        <v>24</v>
      </c>
      <c r="F70" s="5" t="s">
        <v>21</v>
      </c>
      <c r="G70" s="5" t="s">
        <v>25</v>
      </c>
    </row>
    <row r="71">
      <c r="A71" s="4">
        <v>45924.0</v>
      </c>
      <c r="B71" s="5" t="s">
        <v>161</v>
      </c>
      <c r="C71" s="6">
        <v>5.41150438112E11</v>
      </c>
      <c r="D71" s="5" t="s">
        <v>162</v>
      </c>
      <c r="E71" s="5" t="s">
        <v>24</v>
      </c>
      <c r="F71" s="5" t="s">
        <v>17</v>
      </c>
      <c r="G71" s="5" t="s">
        <v>18</v>
      </c>
    </row>
    <row r="72">
      <c r="A72" s="4">
        <v>45924.0</v>
      </c>
      <c r="B72" s="5" t="s">
        <v>163</v>
      </c>
      <c r="C72" s="6">
        <v>5.42477385183E11</v>
      </c>
      <c r="D72" s="5" t="s">
        <v>164</v>
      </c>
      <c r="E72" s="5" t="s">
        <v>39</v>
      </c>
      <c r="F72" s="5" t="s">
        <v>21</v>
      </c>
      <c r="G72" s="5" t="s">
        <v>18</v>
      </c>
    </row>
    <row r="73">
      <c r="A73" s="4">
        <v>45924.0</v>
      </c>
      <c r="B73" s="5" t="s">
        <v>165</v>
      </c>
      <c r="C73" s="6">
        <v>5.43876665791E11</v>
      </c>
      <c r="D73" s="5" t="s">
        <v>166</v>
      </c>
      <c r="E73" s="5" t="s">
        <v>24</v>
      </c>
      <c r="F73" s="5" t="s">
        <v>21</v>
      </c>
      <c r="G73" s="5" t="s">
        <v>25</v>
      </c>
    </row>
    <row r="74">
      <c r="A74" s="4">
        <v>45924.0</v>
      </c>
      <c r="B74" s="5" t="s">
        <v>167</v>
      </c>
      <c r="C74" s="6">
        <v>1.168873616E9</v>
      </c>
      <c r="D74" s="5" t="s">
        <v>168</v>
      </c>
      <c r="E74" s="5" t="s">
        <v>39</v>
      </c>
      <c r="F74" s="5" t="s">
        <v>21</v>
      </c>
      <c r="G74" s="5" t="s">
        <v>18</v>
      </c>
    </row>
    <row r="75">
      <c r="A75" s="4">
        <v>45924.0</v>
      </c>
      <c r="B75" s="5" t="s">
        <v>169</v>
      </c>
      <c r="C75" s="6">
        <v>5.491151142059E12</v>
      </c>
      <c r="D75" s="5" t="s">
        <v>170</v>
      </c>
      <c r="E75" s="5" t="s">
        <v>16</v>
      </c>
      <c r="F75" s="5" t="s">
        <v>21</v>
      </c>
      <c r="G75" s="5" t="s">
        <v>25</v>
      </c>
    </row>
    <row r="76">
      <c r="A76" s="4">
        <v>45925.0</v>
      </c>
      <c r="B76" s="5" t="s">
        <v>171</v>
      </c>
      <c r="C76" s="6">
        <v>5.41169704448E11</v>
      </c>
      <c r="D76" s="5" t="s">
        <v>172</v>
      </c>
      <c r="E76" s="5" t="s">
        <v>16</v>
      </c>
      <c r="F76" s="5" t="s">
        <v>21</v>
      </c>
      <c r="G76" s="5" t="s">
        <v>25</v>
      </c>
    </row>
    <row r="77">
      <c r="A77" s="4">
        <v>45926.0</v>
      </c>
      <c r="B77" s="5" t="s">
        <v>173</v>
      </c>
      <c r="C77" s="6">
        <v>5.491157559855E12</v>
      </c>
      <c r="D77" s="5" t="s">
        <v>174</v>
      </c>
      <c r="E77" s="5" t="s">
        <v>16</v>
      </c>
      <c r="F77" s="5" t="s">
        <v>21</v>
      </c>
      <c r="G77" s="5" t="s">
        <v>25</v>
      </c>
    </row>
    <row r="78">
      <c r="A78" s="4">
        <v>45926.0</v>
      </c>
      <c r="B78" s="5" t="s">
        <v>175</v>
      </c>
      <c r="C78" s="6">
        <v>3.518090873E9</v>
      </c>
      <c r="D78" s="5" t="s">
        <v>176</v>
      </c>
      <c r="E78" s="5" t="s">
        <v>39</v>
      </c>
      <c r="F78" s="5" t="s">
        <v>21</v>
      </c>
      <c r="G78" s="5" t="s">
        <v>25</v>
      </c>
    </row>
    <row r="79">
      <c r="A79" s="4">
        <v>45926.0</v>
      </c>
      <c r="B79" s="5" t="s">
        <v>177</v>
      </c>
      <c r="C79" s="6">
        <v>5.42346625414E11</v>
      </c>
      <c r="D79" s="5" t="s">
        <v>178</v>
      </c>
      <c r="E79" s="5" t="s">
        <v>24</v>
      </c>
      <c r="F79" s="5" t="s">
        <v>21</v>
      </c>
      <c r="G79" s="5" t="s">
        <v>18</v>
      </c>
    </row>
    <row r="80">
      <c r="A80" s="4">
        <v>45926.0</v>
      </c>
      <c r="B80" s="5" t="s">
        <v>179</v>
      </c>
      <c r="C80" s="6">
        <v>1.166247933E9</v>
      </c>
      <c r="D80" s="5" t="s">
        <v>180</v>
      </c>
      <c r="E80" s="5" t="s">
        <v>24</v>
      </c>
      <c r="F80" s="5" t="s">
        <v>21</v>
      </c>
      <c r="G80" s="5" t="s">
        <v>25</v>
      </c>
    </row>
    <row r="81">
      <c r="A81" s="4">
        <v>45926.0</v>
      </c>
      <c r="B81" s="5" t="s">
        <v>181</v>
      </c>
      <c r="C81" s="6">
        <v>5.43731638232E11</v>
      </c>
      <c r="D81" s="5" t="s">
        <v>182</v>
      </c>
      <c r="E81" s="5" t="s">
        <v>24</v>
      </c>
      <c r="F81" s="5" t="s">
        <v>21</v>
      </c>
      <c r="G81" s="5" t="s">
        <v>18</v>
      </c>
    </row>
    <row r="82">
      <c r="A82" s="4">
        <v>45926.0</v>
      </c>
      <c r="B82" s="5" t="s">
        <v>183</v>
      </c>
      <c r="C82" s="6">
        <v>5.41125957574E11</v>
      </c>
      <c r="D82" s="5" t="s">
        <v>184</v>
      </c>
      <c r="E82" s="5" t="s">
        <v>24</v>
      </c>
      <c r="F82" s="5" t="s">
        <v>21</v>
      </c>
      <c r="G82" s="5" t="s">
        <v>25</v>
      </c>
    </row>
    <row r="83">
      <c r="A83" s="4">
        <v>45926.0</v>
      </c>
      <c r="B83" s="5" t="s">
        <v>185</v>
      </c>
      <c r="C83" s="6">
        <v>1.12785541E9</v>
      </c>
      <c r="D83" s="5" t="s">
        <v>186</v>
      </c>
      <c r="E83" s="5" t="s">
        <v>39</v>
      </c>
      <c r="F83" s="5" t="s">
        <v>32</v>
      </c>
      <c r="G83" s="5" t="s">
        <v>25</v>
      </c>
    </row>
    <row r="84">
      <c r="A84" s="4">
        <v>45929.0</v>
      </c>
      <c r="B84" s="5" t="s">
        <v>187</v>
      </c>
      <c r="C84" s="6">
        <v>5.4112448102E11</v>
      </c>
      <c r="D84" s="5" t="s">
        <v>188</v>
      </c>
      <c r="E84" s="5" t="s">
        <v>16</v>
      </c>
      <c r="F84" s="5" t="s">
        <v>21</v>
      </c>
      <c r="G84" s="5" t="s">
        <v>25</v>
      </c>
    </row>
    <row r="85">
      <c r="A85" s="4">
        <v>45929.0</v>
      </c>
      <c r="B85" s="5" t="s">
        <v>189</v>
      </c>
      <c r="C85" s="6">
        <v>5.43412629091E11</v>
      </c>
      <c r="D85" s="5" t="s">
        <v>190</v>
      </c>
      <c r="E85" s="5" t="s">
        <v>24</v>
      </c>
      <c r="F85" s="5" t="s">
        <v>21</v>
      </c>
      <c r="G85" s="5" t="s">
        <v>18</v>
      </c>
    </row>
    <row r="86">
      <c r="A86" s="4">
        <v>45929.0</v>
      </c>
      <c r="B86" s="5" t="s">
        <v>191</v>
      </c>
      <c r="C86" s="6">
        <v>5.42994656535E11</v>
      </c>
      <c r="D86" s="5" t="s">
        <v>192</v>
      </c>
      <c r="E86" s="5" t="s">
        <v>24</v>
      </c>
      <c r="F86" s="5" t="s">
        <v>21</v>
      </c>
      <c r="G86" s="5" t="s">
        <v>25</v>
      </c>
    </row>
    <row r="87">
      <c r="A87" s="4">
        <v>45929.0</v>
      </c>
      <c r="B87" s="5" t="s">
        <v>193</v>
      </c>
      <c r="C87" s="6">
        <v>5.4112391899E11</v>
      </c>
      <c r="D87" s="5" t="s">
        <v>194</v>
      </c>
      <c r="E87" s="5" t="s">
        <v>39</v>
      </c>
      <c r="F87" s="5" t="s">
        <v>21</v>
      </c>
      <c r="G87" s="5" t="s">
        <v>25</v>
      </c>
    </row>
    <row r="88">
      <c r="A88" s="4">
        <v>45929.0</v>
      </c>
      <c r="B88" s="5" t="s">
        <v>195</v>
      </c>
      <c r="C88" s="6">
        <v>5.43644412024E11</v>
      </c>
      <c r="D88" s="5" t="s">
        <v>196</v>
      </c>
      <c r="E88" s="5" t="s">
        <v>16</v>
      </c>
      <c r="F88" s="5" t="s">
        <v>32</v>
      </c>
      <c r="G88" s="5" t="s">
        <v>58</v>
      </c>
    </row>
    <row r="89">
      <c r="A89" s="4">
        <v>45929.0</v>
      </c>
      <c r="B89" s="5" t="s">
        <v>197</v>
      </c>
      <c r="C89" s="6">
        <v>5.492281478089E12</v>
      </c>
      <c r="D89" s="5" t="s">
        <v>198</v>
      </c>
      <c r="E89" s="5" t="s">
        <v>16</v>
      </c>
      <c r="F89" s="5" t="s">
        <v>21</v>
      </c>
      <c r="G89" s="5" t="s">
        <v>18</v>
      </c>
    </row>
    <row r="90">
      <c r="A90" s="4">
        <v>45929.0</v>
      </c>
      <c r="B90" s="5" t="s">
        <v>199</v>
      </c>
      <c r="C90" s="6">
        <v>5.43562440221E11</v>
      </c>
      <c r="D90" s="5" t="s">
        <v>200</v>
      </c>
      <c r="E90" s="5" t="s">
        <v>39</v>
      </c>
      <c r="F90" s="5" t="s">
        <v>21</v>
      </c>
      <c r="G90" s="5" t="s">
        <v>18</v>
      </c>
    </row>
    <row r="91">
      <c r="A91" s="4">
        <v>45929.0</v>
      </c>
      <c r="B91" s="5" t="s">
        <v>201</v>
      </c>
      <c r="C91" s="6">
        <v>5.43492692115E11</v>
      </c>
      <c r="D91" s="5" t="s">
        <v>202</v>
      </c>
      <c r="E91" s="5" t="s">
        <v>16</v>
      </c>
      <c r="F91" s="5" t="s">
        <v>21</v>
      </c>
      <c r="G91" s="5" t="s">
        <v>18</v>
      </c>
    </row>
    <row r="92">
      <c r="A92" s="4">
        <v>45929.0</v>
      </c>
      <c r="B92" s="5" t="s">
        <v>203</v>
      </c>
      <c r="C92" s="6">
        <v>5.491168627103E12</v>
      </c>
      <c r="D92" s="5" t="s">
        <v>204</v>
      </c>
      <c r="E92" s="5" t="s">
        <v>24</v>
      </c>
      <c r="F92" s="5" t="s">
        <v>21</v>
      </c>
      <c r="G92" s="5" t="s">
        <v>18</v>
      </c>
    </row>
    <row r="93">
      <c r="A93" s="4">
        <v>45929.0</v>
      </c>
      <c r="B93" s="5" t="s">
        <v>205</v>
      </c>
      <c r="C93" s="6">
        <v>5.41123985699E11</v>
      </c>
      <c r="D93" s="5" t="s">
        <v>206</v>
      </c>
      <c r="E93" s="5" t="s">
        <v>24</v>
      </c>
      <c r="F93" s="5" t="s">
        <v>21</v>
      </c>
      <c r="G93" s="5" t="s">
        <v>25</v>
      </c>
    </row>
    <row r="94">
      <c r="A94" s="4">
        <v>45936.0</v>
      </c>
      <c r="B94" s="5" t="s">
        <v>207</v>
      </c>
      <c r="C94" s="6">
        <v>1.162440002E9</v>
      </c>
      <c r="D94" s="5" t="s">
        <v>208</v>
      </c>
      <c r="E94" s="5" t="s">
        <v>39</v>
      </c>
      <c r="F94" s="5" t="s">
        <v>21</v>
      </c>
      <c r="G94" s="5" t="s">
        <v>25</v>
      </c>
    </row>
    <row r="95">
      <c r="A95" s="4">
        <v>45936.0</v>
      </c>
      <c r="B95" s="5" t="s">
        <v>209</v>
      </c>
      <c r="C95" s="6">
        <v>5.4382552196E11</v>
      </c>
      <c r="D95" s="5" t="s">
        <v>210</v>
      </c>
      <c r="E95" s="5" t="s">
        <v>24</v>
      </c>
      <c r="F95" s="5" t="s">
        <v>21</v>
      </c>
      <c r="G95" s="5" t="s">
        <v>25</v>
      </c>
    </row>
    <row r="96">
      <c r="A96" s="4">
        <v>45936.0</v>
      </c>
      <c r="B96" s="5" t="s">
        <v>211</v>
      </c>
      <c r="C96" s="6">
        <v>5.42477469014E11</v>
      </c>
      <c r="D96" s="5" t="s">
        <v>212</v>
      </c>
      <c r="E96" s="5" t="s">
        <v>39</v>
      </c>
      <c r="F96" s="5" t="s">
        <v>21</v>
      </c>
      <c r="G96" s="5" t="s">
        <v>25</v>
      </c>
    </row>
    <row r="97">
      <c r="A97" s="4">
        <v>45936.0</v>
      </c>
      <c r="B97" s="5" t="s">
        <v>213</v>
      </c>
      <c r="C97" s="6">
        <v>5.43456583499E11</v>
      </c>
      <c r="D97" s="5" t="s">
        <v>214</v>
      </c>
      <c r="E97" s="5" t="s">
        <v>39</v>
      </c>
      <c r="F97" s="5" t="s">
        <v>21</v>
      </c>
      <c r="G97" s="5" t="s">
        <v>18</v>
      </c>
    </row>
    <row r="98">
      <c r="A98" s="4">
        <v>45936.0</v>
      </c>
      <c r="B98" s="5" t="s">
        <v>215</v>
      </c>
      <c r="C98" s="6">
        <v>5.491150272728E12</v>
      </c>
      <c r="D98" s="5" t="s">
        <v>216</v>
      </c>
      <c r="E98" s="5" t="s">
        <v>24</v>
      </c>
      <c r="F98" s="5" t="s">
        <v>21</v>
      </c>
      <c r="G98" s="5" t="s">
        <v>25</v>
      </c>
    </row>
    <row r="99">
      <c r="A99" s="4">
        <v>45936.0</v>
      </c>
      <c r="B99" s="5" t="s">
        <v>217</v>
      </c>
      <c r="C99" s="6">
        <v>5.41151462025E11</v>
      </c>
      <c r="D99" s="5" t="s">
        <v>218</v>
      </c>
      <c r="E99" s="5" t="s">
        <v>39</v>
      </c>
      <c r="F99" s="5" t="s">
        <v>21</v>
      </c>
      <c r="G99" s="5" t="s">
        <v>18</v>
      </c>
    </row>
    <row r="100">
      <c r="A100" s="4">
        <v>45936.0</v>
      </c>
      <c r="B100" s="5" t="s">
        <v>219</v>
      </c>
      <c r="C100" s="6">
        <v>2.944680459E9</v>
      </c>
      <c r="D100" s="5" t="s">
        <v>220</v>
      </c>
      <c r="E100" s="5" t="s">
        <v>39</v>
      </c>
      <c r="F100" s="5" t="s">
        <v>17</v>
      </c>
      <c r="G100" s="5" t="s">
        <v>25</v>
      </c>
    </row>
    <row r="101">
      <c r="A101" s="4">
        <v>45936.0</v>
      </c>
      <c r="B101" s="5" t="s">
        <v>221</v>
      </c>
      <c r="C101" s="6">
        <v>5.491131349471E12</v>
      </c>
      <c r="D101" s="5" t="s">
        <v>222</v>
      </c>
      <c r="E101" s="5" t="s">
        <v>39</v>
      </c>
      <c r="F101" s="5" t="s">
        <v>21</v>
      </c>
      <c r="G101" s="5" t="s">
        <v>25</v>
      </c>
    </row>
    <row r="102">
      <c r="A102" s="4">
        <v>45936.0</v>
      </c>
      <c r="B102" s="5" t="s">
        <v>223</v>
      </c>
      <c r="C102" s="6">
        <v>5.41165214682E11</v>
      </c>
      <c r="D102" s="5" t="s">
        <v>224</v>
      </c>
      <c r="E102" s="5" t="s">
        <v>24</v>
      </c>
      <c r="F102" s="5" t="s">
        <v>21</v>
      </c>
      <c r="G102" s="5" t="s">
        <v>18</v>
      </c>
    </row>
    <row r="103">
      <c r="A103" s="4">
        <v>45936.0</v>
      </c>
      <c r="B103" s="5" t="s">
        <v>225</v>
      </c>
      <c r="C103" s="6">
        <v>5.4261258654E11</v>
      </c>
      <c r="D103" s="5" t="s">
        <v>226</v>
      </c>
      <c r="E103" s="5" t="s">
        <v>24</v>
      </c>
      <c r="F103" s="5" t="s">
        <v>21</v>
      </c>
      <c r="G103" s="5" t="s">
        <v>25</v>
      </c>
    </row>
    <row r="104">
      <c r="A104" s="4">
        <v>45936.0</v>
      </c>
      <c r="B104" s="5" t="s">
        <v>227</v>
      </c>
      <c r="C104" s="6">
        <v>5.4114165293E11</v>
      </c>
      <c r="D104" s="5" t="s">
        <v>228</v>
      </c>
      <c r="E104" s="5" t="s">
        <v>16</v>
      </c>
      <c r="F104" s="5" t="s">
        <v>32</v>
      </c>
      <c r="G104" s="5" t="s">
        <v>25</v>
      </c>
    </row>
    <row r="105">
      <c r="A105" s="4">
        <v>45936.0</v>
      </c>
      <c r="B105" s="5" t="s">
        <v>229</v>
      </c>
      <c r="C105" s="6">
        <v>5.41154950307E11</v>
      </c>
      <c r="D105" s="5" t="s">
        <v>230</v>
      </c>
      <c r="E105" s="5" t="s">
        <v>39</v>
      </c>
      <c r="F105" s="5" t="s">
        <v>21</v>
      </c>
      <c r="G105" s="5" t="s">
        <v>18</v>
      </c>
    </row>
    <row r="106">
      <c r="A106" s="4">
        <v>45936.0</v>
      </c>
      <c r="B106" s="5" t="s">
        <v>231</v>
      </c>
      <c r="C106" s="6">
        <v>5.43751313371E11</v>
      </c>
      <c r="D106" s="5" t="s">
        <v>232</v>
      </c>
      <c r="E106" s="5" t="s">
        <v>24</v>
      </c>
      <c r="F106" s="5" t="s">
        <v>21</v>
      </c>
      <c r="G106" s="5" t="s">
        <v>25</v>
      </c>
    </row>
    <row r="107">
      <c r="A107" s="4">
        <v>45936.0</v>
      </c>
      <c r="B107" s="5" t="s">
        <v>233</v>
      </c>
      <c r="C107" s="6">
        <v>5.4114098778E11</v>
      </c>
      <c r="D107" s="5" t="s">
        <v>234</v>
      </c>
      <c r="E107" s="5" t="s">
        <v>24</v>
      </c>
      <c r="F107" s="5" t="s">
        <v>21</v>
      </c>
      <c r="G107" s="5" t="s">
        <v>25</v>
      </c>
    </row>
    <row r="108">
      <c r="A108" s="4">
        <v>45936.0</v>
      </c>
      <c r="B108" s="5" t="s">
        <v>235</v>
      </c>
      <c r="C108" s="6">
        <v>5.49341580798E12</v>
      </c>
      <c r="D108" s="5" t="s">
        <v>236</v>
      </c>
      <c r="E108" s="5" t="s">
        <v>39</v>
      </c>
      <c r="F108" s="5" t="s">
        <v>21</v>
      </c>
      <c r="G108" s="5" t="s">
        <v>18</v>
      </c>
    </row>
    <row r="109">
      <c r="A109" s="4">
        <v>45936.0</v>
      </c>
      <c r="B109" s="5" t="s">
        <v>237</v>
      </c>
      <c r="C109" s="6">
        <v>5.43834809292E11</v>
      </c>
      <c r="D109" s="5" t="s">
        <v>238</v>
      </c>
      <c r="E109" s="5" t="s">
        <v>24</v>
      </c>
      <c r="F109" s="5" t="s">
        <v>21</v>
      </c>
      <c r="G109" s="5" t="s">
        <v>25</v>
      </c>
    </row>
    <row r="110">
      <c r="A110" s="4">
        <v>45936.0</v>
      </c>
      <c r="B110" s="5" t="s">
        <v>239</v>
      </c>
      <c r="C110" s="6">
        <v>5.41123235637E11</v>
      </c>
      <c r="D110" s="5" t="s">
        <v>240</v>
      </c>
      <c r="E110" s="5" t="s">
        <v>24</v>
      </c>
      <c r="F110" s="5" t="s">
        <v>21</v>
      </c>
      <c r="G110" s="5" t="s">
        <v>18</v>
      </c>
    </row>
    <row r="111">
      <c r="A111" s="4">
        <v>45936.0</v>
      </c>
      <c r="B111" s="5" t="s">
        <v>241</v>
      </c>
      <c r="C111" s="6">
        <v>5.41123055237E11</v>
      </c>
      <c r="D111" s="5" t="s">
        <v>242</v>
      </c>
      <c r="E111" s="5" t="s">
        <v>16</v>
      </c>
      <c r="F111" s="5" t="s">
        <v>21</v>
      </c>
      <c r="G111" s="5" t="s">
        <v>25</v>
      </c>
    </row>
    <row r="112">
      <c r="A112" s="4">
        <v>45937.0</v>
      </c>
      <c r="B112" s="5" t="s">
        <v>243</v>
      </c>
      <c r="C112" s="6">
        <v>5.42235607273E11</v>
      </c>
      <c r="D112" s="5" t="s">
        <v>244</v>
      </c>
      <c r="E112" s="5" t="s">
        <v>24</v>
      </c>
      <c r="F112" s="5" t="s">
        <v>21</v>
      </c>
      <c r="G112" s="5" t="s">
        <v>25</v>
      </c>
    </row>
    <row r="113">
      <c r="A113" s="4">
        <v>45937.0</v>
      </c>
      <c r="B113" s="5" t="s">
        <v>245</v>
      </c>
      <c r="C113" s="6">
        <v>5.491126375785E12</v>
      </c>
      <c r="D113" s="5" t="s">
        <v>246</v>
      </c>
      <c r="E113" s="5" t="s">
        <v>39</v>
      </c>
      <c r="F113" s="5" t="s">
        <v>32</v>
      </c>
      <c r="G113" s="5" t="s">
        <v>25</v>
      </c>
    </row>
    <row r="114">
      <c r="A114" s="4">
        <v>45937.0</v>
      </c>
      <c r="B114" s="5" t="s">
        <v>247</v>
      </c>
      <c r="C114" s="6">
        <v>5.4114191299E11</v>
      </c>
      <c r="D114" s="5" t="s">
        <v>248</v>
      </c>
      <c r="E114" s="5" t="s">
        <v>24</v>
      </c>
      <c r="F114" s="5" t="s">
        <v>21</v>
      </c>
      <c r="G114" s="5" t="s">
        <v>25</v>
      </c>
    </row>
    <row r="115">
      <c r="A115" s="4">
        <v>45937.0</v>
      </c>
      <c r="B115" s="5" t="s">
        <v>249</v>
      </c>
      <c r="C115" s="6">
        <v>5.41122890587E11</v>
      </c>
      <c r="D115" s="5" t="s">
        <v>250</v>
      </c>
      <c r="E115" s="5" t="s">
        <v>24</v>
      </c>
      <c r="F115" s="5" t="s">
        <v>21</v>
      </c>
      <c r="G115" s="5" t="s">
        <v>18</v>
      </c>
    </row>
    <row r="116">
      <c r="A116" s="4">
        <v>45937.0</v>
      </c>
      <c r="B116" s="5" t="s">
        <v>251</v>
      </c>
      <c r="C116" s="6">
        <v>5.41134665194E11</v>
      </c>
      <c r="D116" s="5" t="s">
        <v>252</v>
      </c>
      <c r="E116" s="5" t="s">
        <v>39</v>
      </c>
      <c r="F116" s="5" t="s">
        <v>21</v>
      </c>
      <c r="G116" s="5" t="s">
        <v>25</v>
      </c>
    </row>
    <row r="117">
      <c r="A117" s="4">
        <v>45937.0</v>
      </c>
      <c r="B117" s="5" t="s">
        <v>253</v>
      </c>
      <c r="C117" s="6">
        <v>5.41154140773E11</v>
      </c>
      <c r="D117" s="5" t="s">
        <v>254</v>
      </c>
      <c r="E117" s="5" t="s">
        <v>16</v>
      </c>
      <c r="F117" s="5" t="s">
        <v>21</v>
      </c>
      <c r="G117" s="5" t="s">
        <v>25</v>
      </c>
    </row>
    <row r="118">
      <c r="A118" s="4">
        <v>45937.0</v>
      </c>
      <c r="B118" s="5" t="s">
        <v>255</v>
      </c>
      <c r="C118" s="6">
        <v>5.41134996234E11</v>
      </c>
      <c r="D118" s="5" t="s">
        <v>256</v>
      </c>
      <c r="E118" s="5" t="s">
        <v>39</v>
      </c>
      <c r="F118" s="5" t="s">
        <v>21</v>
      </c>
      <c r="G118" s="5" t="s">
        <v>18</v>
      </c>
    </row>
    <row r="119">
      <c r="A119" s="4">
        <v>45937.0</v>
      </c>
      <c r="B119" s="5" t="s">
        <v>257</v>
      </c>
      <c r="C119" s="6">
        <v>5.41123674754E11</v>
      </c>
      <c r="D119" s="5" t="s">
        <v>258</v>
      </c>
      <c r="E119" s="5" t="s">
        <v>39</v>
      </c>
      <c r="F119" s="5" t="s">
        <v>21</v>
      </c>
      <c r="G119" s="5" t="s">
        <v>25</v>
      </c>
    </row>
    <row r="120">
      <c r="A120" s="4">
        <v>45937.0</v>
      </c>
      <c r="B120" s="5" t="s">
        <v>259</v>
      </c>
      <c r="C120" s="6">
        <v>5.491162666733E12</v>
      </c>
      <c r="D120" s="5" t="s">
        <v>260</v>
      </c>
      <c r="E120" s="5" t="s">
        <v>39</v>
      </c>
      <c r="F120" s="5" t="s">
        <v>21</v>
      </c>
      <c r="G120" s="5" t="s">
        <v>18</v>
      </c>
    </row>
    <row r="121">
      <c r="A121" s="4">
        <v>45937.0</v>
      </c>
      <c r="B121" s="5" t="s">
        <v>261</v>
      </c>
      <c r="C121" s="6">
        <v>5.41162309E11</v>
      </c>
      <c r="D121" s="5" t="s">
        <v>262</v>
      </c>
      <c r="E121" s="5" t="s">
        <v>24</v>
      </c>
      <c r="F121" s="5" t="s">
        <v>21</v>
      </c>
      <c r="G121" s="5" t="s">
        <v>25</v>
      </c>
    </row>
    <row r="122">
      <c r="A122" s="4">
        <v>45937.0</v>
      </c>
      <c r="B122" s="5" t="s">
        <v>263</v>
      </c>
      <c r="C122" s="6">
        <v>5.492923572318E12</v>
      </c>
      <c r="D122" s="5" t="s">
        <v>264</v>
      </c>
      <c r="E122" s="5" t="s">
        <v>16</v>
      </c>
      <c r="F122" s="5" t="s">
        <v>21</v>
      </c>
      <c r="G122" s="5" t="s">
        <v>18</v>
      </c>
    </row>
    <row r="123">
      <c r="A123" s="4">
        <v>45937.0</v>
      </c>
      <c r="B123" s="5" t="s">
        <v>265</v>
      </c>
      <c r="C123" s="6">
        <v>5.42664364864E11</v>
      </c>
      <c r="D123" s="5" t="s">
        <v>266</v>
      </c>
      <c r="E123" s="5" t="s">
        <v>39</v>
      </c>
      <c r="F123" s="5" t="s">
        <v>17</v>
      </c>
      <c r="G123" s="5" t="s">
        <v>25</v>
      </c>
    </row>
    <row r="124">
      <c r="A124" s="4">
        <v>45937.0</v>
      </c>
      <c r="B124" s="5" t="s">
        <v>267</v>
      </c>
      <c r="C124" s="6">
        <v>5.492994560797E12</v>
      </c>
      <c r="D124" s="5" t="s">
        <v>268</v>
      </c>
      <c r="E124" s="5" t="s">
        <v>16</v>
      </c>
      <c r="F124" s="5" t="s">
        <v>32</v>
      </c>
      <c r="G124" s="5" t="s">
        <v>25</v>
      </c>
    </row>
    <row r="125">
      <c r="A125" s="4">
        <v>45938.0</v>
      </c>
      <c r="B125" s="5" t="s">
        <v>269</v>
      </c>
      <c r="C125" s="6">
        <v>5.41144092071E11</v>
      </c>
      <c r="D125" s="5" t="s">
        <v>270</v>
      </c>
      <c r="E125" s="5" t="s">
        <v>16</v>
      </c>
      <c r="F125" s="5" t="s">
        <v>21</v>
      </c>
      <c r="G125" s="5" t="s">
        <v>18</v>
      </c>
    </row>
    <row r="126">
      <c r="A126" s="4">
        <v>45938.0</v>
      </c>
      <c r="B126" s="5" t="s">
        <v>271</v>
      </c>
      <c r="C126" s="6">
        <v>5.4115924843E11</v>
      </c>
      <c r="D126" s="5" t="s">
        <v>272</v>
      </c>
      <c r="E126" s="5" t="s">
        <v>16</v>
      </c>
      <c r="F126" s="5" t="s">
        <v>21</v>
      </c>
      <c r="G126" s="5" t="s">
        <v>25</v>
      </c>
    </row>
    <row r="127">
      <c r="A127" s="4">
        <v>45938.0</v>
      </c>
      <c r="B127" s="5" t="s">
        <v>273</v>
      </c>
      <c r="C127" s="6">
        <v>5.403484530293E12</v>
      </c>
      <c r="D127" s="5" t="s">
        <v>274</v>
      </c>
      <c r="E127" s="5" t="s">
        <v>39</v>
      </c>
      <c r="F127" s="5" t="s">
        <v>21</v>
      </c>
      <c r="G127" s="5" t="s">
        <v>25</v>
      </c>
    </row>
    <row r="128">
      <c r="A128" s="4">
        <v>45938.0</v>
      </c>
      <c r="B128" s="5" t="s">
        <v>275</v>
      </c>
      <c r="C128" s="6">
        <v>1.161020742E9</v>
      </c>
      <c r="D128" s="5" t="s">
        <v>276</v>
      </c>
      <c r="E128" s="5" t="s">
        <v>24</v>
      </c>
      <c r="F128" s="5" t="s">
        <v>21</v>
      </c>
      <c r="G128" s="5" t="s">
        <v>25</v>
      </c>
    </row>
    <row r="129">
      <c r="A129" s="4">
        <v>45938.0</v>
      </c>
      <c r="B129" s="5" t="s">
        <v>277</v>
      </c>
      <c r="C129" s="6">
        <v>5.4115891506E11</v>
      </c>
      <c r="D129" s="5" t="s">
        <v>278</v>
      </c>
      <c r="E129" s="5" t="s">
        <v>39</v>
      </c>
      <c r="F129" s="5" t="s">
        <v>21</v>
      </c>
      <c r="G129" s="5" t="s">
        <v>25</v>
      </c>
    </row>
    <row r="130">
      <c r="A130" s="4">
        <v>45938.0</v>
      </c>
      <c r="B130" s="5" t="s">
        <v>279</v>
      </c>
      <c r="C130" s="6">
        <v>5.43875745711E11</v>
      </c>
      <c r="D130" s="5" t="s">
        <v>280</v>
      </c>
      <c r="E130" s="5" t="s">
        <v>24</v>
      </c>
      <c r="F130" s="5" t="s">
        <v>21</v>
      </c>
      <c r="G130" s="5" t="s">
        <v>25</v>
      </c>
    </row>
    <row r="131">
      <c r="A131" s="4">
        <v>45938.0</v>
      </c>
      <c r="B131" s="5" t="s">
        <v>281</v>
      </c>
      <c r="C131" s="6">
        <v>5.43413579719E11</v>
      </c>
      <c r="D131" s="5" t="s">
        <v>282</v>
      </c>
      <c r="E131" s="5" t="s">
        <v>24</v>
      </c>
      <c r="F131" s="5" t="s">
        <v>21</v>
      </c>
      <c r="G131" s="5" t="s">
        <v>25</v>
      </c>
    </row>
    <row r="132">
      <c r="A132" s="4">
        <v>45938.0</v>
      </c>
      <c r="B132" s="5" t="s">
        <v>283</v>
      </c>
      <c r="C132" s="6">
        <v>5.403873589585E12</v>
      </c>
      <c r="D132" s="5" t="s">
        <v>284</v>
      </c>
      <c r="E132" s="5" t="s">
        <v>39</v>
      </c>
      <c r="F132" s="5" t="s">
        <v>32</v>
      </c>
      <c r="G132" s="5" t="s">
        <v>25</v>
      </c>
    </row>
    <row r="133">
      <c r="A133" s="4">
        <v>45938.0</v>
      </c>
      <c r="B133" s="5" t="s">
        <v>285</v>
      </c>
      <c r="C133" s="6">
        <v>5.42615037985E11</v>
      </c>
      <c r="D133" s="5" t="s">
        <v>286</v>
      </c>
      <c r="E133" s="5" t="s">
        <v>16</v>
      </c>
      <c r="F133" s="5" t="s">
        <v>21</v>
      </c>
      <c r="G133" s="5" t="s">
        <v>25</v>
      </c>
    </row>
    <row r="134">
      <c r="A134" s="4">
        <v>45938.0</v>
      </c>
      <c r="B134" s="5" t="s">
        <v>287</v>
      </c>
      <c r="C134" s="6">
        <v>5.41122856164E11</v>
      </c>
      <c r="D134" s="5" t="s">
        <v>288</v>
      </c>
      <c r="E134" s="5" t="s">
        <v>39</v>
      </c>
      <c r="F134" s="5" t="s">
        <v>21</v>
      </c>
      <c r="G134" s="5" t="s">
        <v>25</v>
      </c>
    </row>
    <row r="135">
      <c r="A135" s="4">
        <v>45939.0</v>
      </c>
      <c r="B135" s="5" t="s">
        <v>289</v>
      </c>
      <c r="C135" s="6">
        <v>5.492974351544E12</v>
      </c>
      <c r="D135" s="5" t="s">
        <v>290</v>
      </c>
      <c r="E135" s="5" t="s">
        <v>16</v>
      </c>
      <c r="F135" s="5" t="s">
        <v>21</v>
      </c>
      <c r="G135" s="5" t="s">
        <v>18</v>
      </c>
    </row>
    <row r="136">
      <c r="A136" s="4">
        <v>45939.0</v>
      </c>
      <c r="B136" s="5" t="s">
        <v>291</v>
      </c>
      <c r="C136" s="6">
        <v>5.4116648025E11</v>
      </c>
      <c r="D136" s="5" t="s">
        <v>292</v>
      </c>
      <c r="E136" s="5" t="s">
        <v>16</v>
      </c>
      <c r="F136" s="5" t="s">
        <v>21</v>
      </c>
      <c r="G136" s="5" t="s">
        <v>25</v>
      </c>
      <c r="J136" s="5" t="s">
        <v>293</v>
      </c>
    </row>
    <row r="137">
      <c r="A137" s="4">
        <v>45939.0</v>
      </c>
      <c r="B137" s="5" t="s">
        <v>294</v>
      </c>
      <c r="C137" s="6">
        <v>5.41161716267E11</v>
      </c>
      <c r="D137" s="5" t="s">
        <v>295</v>
      </c>
      <c r="E137" s="5" t="s">
        <v>24</v>
      </c>
      <c r="F137" s="5" t="s">
        <v>21</v>
      </c>
      <c r="G137" s="5" t="s">
        <v>18</v>
      </c>
    </row>
    <row r="138">
      <c r="A138" s="4">
        <v>45939.0</v>
      </c>
      <c r="B138" s="5" t="s">
        <v>296</v>
      </c>
      <c r="C138" s="6">
        <v>5.41126324736E11</v>
      </c>
      <c r="D138" s="5" t="s">
        <v>297</v>
      </c>
      <c r="E138" s="5" t="s">
        <v>16</v>
      </c>
      <c r="F138" s="5" t="s">
        <v>21</v>
      </c>
      <c r="G138" s="5" t="s">
        <v>25</v>
      </c>
    </row>
    <row r="139">
      <c r="A139" s="4">
        <v>45939.0</v>
      </c>
      <c r="B139" s="5" t="s">
        <v>298</v>
      </c>
      <c r="C139" s="6">
        <v>5.41140373681E11</v>
      </c>
      <c r="D139" s="5" t="s">
        <v>299</v>
      </c>
      <c r="E139" s="5" t="s">
        <v>39</v>
      </c>
      <c r="F139" s="5" t="s">
        <v>21</v>
      </c>
      <c r="G139" s="5" t="s">
        <v>25</v>
      </c>
    </row>
    <row r="140">
      <c r="A140" s="4">
        <v>45939.0</v>
      </c>
      <c r="B140" s="5" t="s">
        <v>300</v>
      </c>
      <c r="C140" s="6">
        <v>5.4116501785E11</v>
      </c>
      <c r="D140" s="5" t="s">
        <v>301</v>
      </c>
      <c r="E140" s="5" t="s">
        <v>24</v>
      </c>
      <c r="F140" s="5" t="s">
        <v>21</v>
      </c>
      <c r="G140" s="5" t="s">
        <v>25</v>
      </c>
    </row>
    <row r="141">
      <c r="A141" s="4">
        <v>45944.0</v>
      </c>
      <c r="B141" s="5" t="s">
        <v>302</v>
      </c>
      <c r="C141" s="6">
        <v>5.43455444539E11</v>
      </c>
      <c r="D141" s="5" t="s">
        <v>303</v>
      </c>
      <c r="E141" s="5" t="s">
        <v>39</v>
      </c>
      <c r="F141" s="5" t="s">
        <v>21</v>
      </c>
      <c r="G141" s="5" t="s">
        <v>18</v>
      </c>
    </row>
    <row r="142">
      <c r="A142" s="4">
        <v>45944.0</v>
      </c>
      <c r="B142" s="5" t="s">
        <v>304</v>
      </c>
      <c r="C142" s="6">
        <v>5.41131890095E11</v>
      </c>
      <c r="D142" s="5" t="s">
        <v>305</v>
      </c>
      <c r="E142" s="5" t="s">
        <v>24</v>
      </c>
      <c r="F142" s="5" t="s">
        <v>17</v>
      </c>
      <c r="G142" s="5" t="s">
        <v>25</v>
      </c>
    </row>
    <row r="143">
      <c r="A143" s="4">
        <v>45944.0</v>
      </c>
      <c r="B143" s="5" t="s">
        <v>306</v>
      </c>
      <c r="C143" s="6">
        <v>5.41122430007E11</v>
      </c>
      <c r="D143" s="5" t="s">
        <v>307</v>
      </c>
      <c r="E143" s="5" t="s">
        <v>39</v>
      </c>
      <c r="F143" s="5" t="s">
        <v>17</v>
      </c>
      <c r="G143" s="5" t="s">
        <v>18</v>
      </c>
    </row>
    <row r="144">
      <c r="A144" s="4">
        <v>45948.0</v>
      </c>
      <c r="B144" s="5" t="s">
        <v>308</v>
      </c>
      <c r="C144" s="6">
        <v>5.49249469997E12</v>
      </c>
      <c r="D144" s="5" t="s">
        <v>309</v>
      </c>
      <c r="E144" s="5" t="s">
        <v>24</v>
      </c>
      <c r="F144" s="5" t="s">
        <v>21</v>
      </c>
      <c r="G144" s="5" t="s">
        <v>18</v>
      </c>
    </row>
    <row r="145">
      <c r="A145" s="4">
        <v>45948.0</v>
      </c>
      <c r="B145" s="5" t="s">
        <v>310</v>
      </c>
      <c r="C145" s="6">
        <v>5.42644174814E11</v>
      </c>
      <c r="D145" s="5" t="s">
        <v>311</v>
      </c>
      <c r="E145" s="5" t="s">
        <v>24</v>
      </c>
      <c r="F145" s="5" t="s">
        <v>21</v>
      </c>
      <c r="G145" s="5" t="s">
        <v>25</v>
      </c>
    </row>
    <row r="146">
      <c r="A146" s="4">
        <v>45948.0</v>
      </c>
      <c r="B146" s="5" t="s">
        <v>312</v>
      </c>
      <c r="C146" s="6">
        <v>5.43482260183E11</v>
      </c>
      <c r="D146" s="5" t="s">
        <v>313</v>
      </c>
      <c r="E146" s="5" t="s">
        <v>24</v>
      </c>
      <c r="F146" s="5" t="s">
        <v>314</v>
      </c>
      <c r="G146" s="5" t="s">
        <v>25</v>
      </c>
    </row>
    <row r="147">
      <c r="A147" s="4">
        <v>45948.0</v>
      </c>
      <c r="B147" s="5" t="s">
        <v>315</v>
      </c>
      <c r="C147" s="6">
        <v>5.43813389902E11</v>
      </c>
      <c r="D147" s="5" t="s">
        <v>316</v>
      </c>
      <c r="E147" s="5" t="s">
        <v>24</v>
      </c>
      <c r="F147" s="5" t="s">
        <v>21</v>
      </c>
      <c r="G147" s="5" t="s">
        <v>25</v>
      </c>
    </row>
    <row r="148">
      <c r="A148" s="4">
        <v>45949.0</v>
      </c>
      <c r="B148" s="5" t="s">
        <v>317</v>
      </c>
      <c r="C148" s="6">
        <v>5.41155628303E11</v>
      </c>
      <c r="D148" s="5" t="s">
        <v>318</v>
      </c>
      <c r="E148" s="5" t="s">
        <v>39</v>
      </c>
      <c r="F148" s="5" t="s">
        <v>21</v>
      </c>
      <c r="G148" s="5" t="s">
        <v>25</v>
      </c>
    </row>
    <row r="149">
      <c r="A149" s="4">
        <v>45949.0</v>
      </c>
      <c r="B149" s="5" t="s">
        <v>319</v>
      </c>
      <c r="C149" s="6">
        <v>5.43476692958E11</v>
      </c>
      <c r="D149" s="5" t="s">
        <v>320</v>
      </c>
      <c r="E149" s="5" t="s">
        <v>16</v>
      </c>
      <c r="F149" s="5" t="s">
        <v>32</v>
      </c>
      <c r="G149" s="5" t="s">
        <v>25</v>
      </c>
    </row>
    <row r="150">
      <c r="A150" s="4">
        <v>45949.0</v>
      </c>
      <c r="B150" s="5" t="s">
        <v>321</v>
      </c>
      <c r="C150" s="6">
        <v>5.84142224313E11</v>
      </c>
      <c r="D150" s="5" t="s">
        <v>322</v>
      </c>
      <c r="E150" s="5" t="s">
        <v>24</v>
      </c>
      <c r="F150" s="5" t="s">
        <v>21</v>
      </c>
      <c r="G150" s="5" t="s">
        <v>25</v>
      </c>
    </row>
    <row r="151">
      <c r="A151" s="4">
        <v>45949.0</v>
      </c>
      <c r="B151" s="5" t="s">
        <v>323</v>
      </c>
      <c r="C151" s="6">
        <v>5.43644559316E11</v>
      </c>
      <c r="D151" s="5" t="s">
        <v>324</v>
      </c>
      <c r="E151" s="5" t="s">
        <v>24</v>
      </c>
      <c r="F151" s="5" t="s">
        <v>21</v>
      </c>
      <c r="G151" s="5" t="s">
        <v>25</v>
      </c>
    </row>
    <row r="152">
      <c r="A152" s="4">
        <v>45949.0</v>
      </c>
      <c r="B152" s="5" t="s">
        <v>325</v>
      </c>
      <c r="C152" s="6">
        <v>5.41140664218E11</v>
      </c>
      <c r="D152" s="5" t="s">
        <v>326</v>
      </c>
      <c r="E152" s="5" t="s">
        <v>39</v>
      </c>
      <c r="F152" s="5" t="s">
        <v>21</v>
      </c>
      <c r="G152" s="5" t="s">
        <v>18</v>
      </c>
    </row>
    <row r="153">
      <c r="A153" s="4">
        <v>45949.0</v>
      </c>
      <c r="B153" s="5" t="s">
        <v>327</v>
      </c>
      <c r="C153" s="6">
        <v>5.41136265354E11</v>
      </c>
      <c r="D153" s="5" t="s">
        <v>328</v>
      </c>
      <c r="E153" s="5" t="s">
        <v>39</v>
      </c>
      <c r="F153" s="5" t="s">
        <v>21</v>
      </c>
      <c r="G153" s="5" t="s">
        <v>25</v>
      </c>
    </row>
    <row r="154">
      <c r="A154" s="4">
        <v>45949.0</v>
      </c>
      <c r="B154" s="5" t="s">
        <v>329</v>
      </c>
      <c r="C154" s="6">
        <v>5.40111566651108E14</v>
      </c>
      <c r="D154" s="5" t="s">
        <v>330</v>
      </c>
      <c r="E154" s="5" t="s">
        <v>24</v>
      </c>
      <c r="F154" s="5" t="s">
        <v>21</v>
      </c>
      <c r="G154" s="5" t="s">
        <v>25</v>
      </c>
    </row>
    <row r="155">
      <c r="A155" s="4">
        <v>45949.0</v>
      </c>
      <c r="B155" s="5" t="s">
        <v>331</v>
      </c>
      <c r="C155" s="6">
        <v>5.491135630257E12</v>
      </c>
      <c r="D155" s="5" t="s">
        <v>332</v>
      </c>
      <c r="E155" s="5" t="s">
        <v>24</v>
      </c>
      <c r="F155" s="5" t="s">
        <v>21</v>
      </c>
      <c r="G155" s="5" t="s">
        <v>18</v>
      </c>
    </row>
    <row r="156">
      <c r="A156" s="4">
        <v>45950.0</v>
      </c>
      <c r="B156" s="5" t="s">
        <v>333</v>
      </c>
      <c r="C156" s="6">
        <v>5.41173606799E11</v>
      </c>
      <c r="D156" s="5" t="s">
        <v>334</v>
      </c>
      <c r="E156" s="5" t="s">
        <v>39</v>
      </c>
      <c r="F156" s="5" t="s">
        <v>21</v>
      </c>
      <c r="G156" s="5" t="s">
        <v>18</v>
      </c>
    </row>
    <row r="157">
      <c r="A157" s="4">
        <v>45950.0</v>
      </c>
      <c r="B157" s="5" t="s">
        <v>335</v>
      </c>
      <c r="C157" s="6">
        <v>5.41125513375E11</v>
      </c>
      <c r="D157" s="5" t="s">
        <v>336</v>
      </c>
      <c r="E157" s="5" t="s">
        <v>24</v>
      </c>
      <c r="F157" s="5" t="s">
        <v>21</v>
      </c>
      <c r="G157" s="5" t="s">
        <v>18</v>
      </c>
    </row>
    <row r="158">
      <c r="A158" s="4">
        <v>45950.0</v>
      </c>
      <c r="B158" s="5" t="s">
        <v>337</v>
      </c>
      <c r="C158" s="6">
        <v>5.43838484439E11</v>
      </c>
      <c r="D158" s="5" t="s">
        <v>338</v>
      </c>
      <c r="E158" s="5" t="s">
        <v>24</v>
      </c>
      <c r="F158" s="5" t="s">
        <v>21</v>
      </c>
      <c r="G158" s="5" t="s">
        <v>25</v>
      </c>
    </row>
    <row r="159">
      <c r="A159" s="4">
        <v>45950.0</v>
      </c>
      <c r="B159" s="5" t="s">
        <v>339</v>
      </c>
      <c r="C159" s="6">
        <v>5.43624802922E11</v>
      </c>
      <c r="D159" s="5" t="s">
        <v>340</v>
      </c>
      <c r="E159" s="5" t="s">
        <v>16</v>
      </c>
      <c r="F159" s="5" t="s">
        <v>21</v>
      </c>
      <c r="G159" s="5" t="s">
        <v>25</v>
      </c>
    </row>
    <row r="160">
      <c r="A160" s="4">
        <v>45950.0</v>
      </c>
      <c r="B160" s="5" t="s">
        <v>341</v>
      </c>
      <c r="C160" s="6">
        <v>5.42916429513E11</v>
      </c>
      <c r="D160" s="5" t="s">
        <v>342</v>
      </c>
      <c r="E160" s="5" t="s">
        <v>39</v>
      </c>
      <c r="F160" s="5" t="s">
        <v>21</v>
      </c>
      <c r="G160" s="5" t="s">
        <v>25</v>
      </c>
    </row>
    <row r="161">
      <c r="A161" s="4">
        <v>45950.0</v>
      </c>
      <c r="B161" s="5" t="s">
        <v>343</v>
      </c>
      <c r="C161" s="6">
        <v>5.41164712659E11</v>
      </c>
      <c r="D161" s="5" t="s">
        <v>344</v>
      </c>
      <c r="E161" s="5" t="s">
        <v>16</v>
      </c>
      <c r="F161" s="5" t="s">
        <v>21</v>
      </c>
      <c r="G161" s="5" t="s">
        <v>18</v>
      </c>
    </row>
    <row r="162">
      <c r="A162" s="4">
        <v>45950.0</v>
      </c>
      <c r="B162" s="5" t="s">
        <v>345</v>
      </c>
      <c r="C162" s="6">
        <v>5.43583433279E11</v>
      </c>
      <c r="D162" s="5" t="s">
        <v>346</v>
      </c>
      <c r="E162" s="5" t="s">
        <v>39</v>
      </c>
      <c r="F162" s="5" t="s">
        <v>21</v>
      </c>
      <c r="G162" s="5" t="s">
        <v>25</v>
      </c>
    </row>
    <row r="163">
      <c r="A163" s="4">
        <v>45950.0</v>
      </c>
      <c r="B163" s="5" t="s">
        <v>347</v>
      </c>
      <c r="C163" s="6">
        <v>5.434085745E11</v>
      </c>
      <c r="D163" s="5" t="s">
        <v>348</v>
      </c>
      <c r="E163" s="5" t="s">
        <v>24</v>
      </c>
      <c r="F163" s="5" t="s">
        <v>21</v>
      </c>
      <c r="G163" s="5" t="s">
        <v>25</v>
      </c>
    </row>
    <row r="164">
      <c r="A164" s="4">
        <v>45950.0</v>
      </c>
      <c r="B164" s="5" t="s">
        <v>349</v>
      </c>
      <c r="C164" s="6">
        <v>5.491152593926E12</v>
      </c>
      <c r="D164" s="5" t="s">
        <v>350</v>
      </c>
      <c r="E164" s="5" t="s">
        <v>24</v>
      </c>
      <c r="F164" s="5" t="s">
        <v>21</v>
      </c>
      <c r="G164" s="5" t="s">
        <v>25</v>
      </c>
    </row>
    <row r="165">
      <c r="A165" s="4">
        <v>45950.0</v>
      </c>
      <c r="B165" s="5" t="s">
        <v>351</v>
      </c>
      <c r="C165" s="6">
        <v>5.41123953242E11</v>
      </c>
      <c r="D165" s="5" t="s">
        <v>352</v>
      </c>
      <c r="E165" s="5" t="s">
        <v>39</v>
      </c>
      <c r="F165" s="5" t="s">
        <v>21</v>
      </c>
      <c r="G165" s="5" t="s">
        <v>25</v>
      </c>
    </row>
    <row r="166">
      <c r="A166" s="4">
        <v>45950.0</v>
      </c>
      <c r="B166" s="5" t="s">
        <v>353</v>
      </c>
      <c r="C166" s="6">
        <v>3.467520388E9</v>
      </c>
      <c r="D166" s="5" t="s">
        <v>354</v>
      </c>
      <c r="E166" s="5" t="s">
        <v>24</v>
      </c>
      <c r="F166" s="5" t="s">
        <v>21</v>
      </c>
      <c r="G166" s="5" t="s">
        <v>18</v>
      </c>
    </row>
    <row r="167">
      <c r="A167" s="4">
        <v>45950.0</v>
      </c>
      <c r="B167" s="5" t="s">
        <v>355</v>
      </c>
      <c r="C167" s="6">
        <v>5.4115812768E11</v>
      </c>
      <c r="D167" s="5" t="s">
        <v>356</v>
      </c>
      <c r="E167" s="5" t="s">
        <v>24</v>
      </c>
      <c r="F167" s="5" t="s">
        <v>314</v>
      </c>
      <c r="G167" s="5" t="s">
        <v>18</v>
      </c>
    </row>
    <row r="168">
      <c r="A168" s="4">
        <v>45950.0</v>
      </c>
      <c r="B168" s="5" t="s">
        <v>357</v>
      </c>
      <c r="C168" s="6">
        <v>3.865578558E9</v>
      </c>
      <c r="D168" s="5" t="s">
        <v>358</v>
      </c>
      <c r="E168" s="5" t="s">
        <v>24</v>
      </c>
      <c r="F168" s="5" t="s">
        <v>21</v>
      </c>
      <c r="G168" s="5" t="s">
        <v>18</v>
      </c>
    </row>
    <row r="169">
      <c r="A169" s="4">
        <v>45950.0</v>
      </c>
      <c r="B169" s="5" t="s">
        <v>359</v>
      </c>
      <c r="C169" s="6">
        <v>5.43855013825E11</v>
      </c>
      <c r="D169" s="5" t="s">
        <v>360</v>
      </c>
      <c r="E169" s="5" t="s">
        <v>16</v>
      </c>
      <c r="F169" s="5" t="s">
        <v>314</v>
      </c>
      <c r="G169" s="5" t="s">
        <v>25</v>
      </c>
    </row>
    <row r="170">
      <c r="A170" s="4">
        <v>45950.0</v>
      </c>
      <c r="B170" s="5" t="s">
        <v>361</v>
      </c>
      <c r="C170" s="6">
        <v>5.43644624972E11</v>
      </c>
      <c r="D170" s="5" t="s">
        <v>362</v>
      </c>
      <c r="E170" s="5" t="s">
        <v>16</v>
      </c>
      <c r="F170" s="5" t="s">
        <v>21</v>
      </c>
      <c r="G170" s="5" t="s">
        <v>18</v>
      </c>
    </row>
    <row r="171">
      <c r="A171" s="4">
        <v>45950.0</v>
      </c>
      <c r="B171" s="5" t="s">
        <v>363</v>
      </c>
      <c r="C171" s="6">
        <v>5.41157949509E11</v>
      </c>
      <c r="D171" s="5" t="s">
        <v>364</v>
      </c>
      <c r="E171" s="5" t="s">
        <v>24</v>
      </c>
      <c r="F171" s="5" t="s">
        <v>21</v>
      </c>
      <c r="G171" s="5" t="s">
        <v>25</v>
      </c>
    </row>
    <row r="172">
      <c r="A172" s="4">
        <v>45951.0</v>
      </c>
      <c r="B172" s="5" t="s">
        <v>365</v>
      </c>
      <c r="C172" s="6">
        <v>5.41151181956E11</v>
      </c>
      <c r="D172" s="5" t="s">
        <v>366</v>
      </c>
      <c r="E172" s="5" t="s">
        <v>24</v>
      </c>
      <c r="F172" s="5" t="s">
        <v>21</v>
      </c>
      <c r="G172" s="5" t="s">
        <v>18</v>
      </c>
    </row>
    <row r="173">
      <c r="A173" s="4">
        <v>45951.0</v>
      </c>
      <c r="B173" s="5" t="s">
        <v>367</v>
      </c>
      <c r="C173" s="6">
        <v>5.43532409581E11</v>
      </c>
      <c r="D173" s="5" t="s">
        <v>368</v>
      </c>
      <c r="E173" s="5" t="s">
        <v>39</v>
      </c>
      <c r="F173" s="5" t="s">
        <v>21</v>
      </c>
      <c r="G173" s="5" t="s">
        <v>25</v>
      </c>
    </row>
    <row r="174">
      <c r="A174" s="4">
        <v>45951.0</v>
      </c>
      <c r="B174" s="5" t="s">
        <v>369</v>
      </c>
      <c r="C174" s="6">
        <v>5.41160473028E11</v>
      </c>
      <c r="D174" s="5" t="s">
        <v>370</v>
      </c>
      <c r="E174" s="5" t="s">
        <v>16</v>
      </c>
      <c r="F174" s="5" t="s">
        <v>21</v>
      </c>
      <c r="G174" s="5" t="s">
        <v>25</v>
      </c>
    </row>
    <row r="175">
      <c r="A175" s="4">
        <v>45951.0</v>
      </c>
      <c r="B175" s="5" t="s">
        <v>371</v>
      </c>
      <c r="C175" s="6">
        <v>5.41138420194E11</v>
      </c>
      <c r="D175" s="5" t="s">
        <v>372</v>
      </c>
      <c r="E175" s="5" t="s">
        <v>24</v>
      </c>
      <c r="F175" s="5" t="s">
        <v>314</v>
      </c>
      <c r="G175" s="5" t="s">
        <v>25</v>
      </c>
    </row>
    <row r="176">
      <c r="A176" s="4">
        <v>45951.0</v>
      </c>
      <c r="B176" s="5" t="s">
        <v>373</v>
      </c>
      <c r="C176" s="6">
        <v>5.41140745949E11</v>
      </c>
      <c r="D176" s="5" t="s">
        <v>374</v>
      </c>
      <c r="E176" s="5" t="s">
        <v>24</v>
      </c>
      <c r="F176" s="5" t="s">
        <v>21</v>
      </c>
      <c r="G176" s="5" t="s">
        <v>18</v>
      </c>
    </row>
    <row r="177">
      <c r="A177" s="4">
        <v>45951.0</v>
      </c>
      <c r="B177" s="5" t="s">
        <v>375</v>
      </c>
      <c r="C177" s="6">
        <v>5.42317571867E11</v>
      </c>
      <c r="D177" s="5" t="s">
        <v>376</v>
      </c>
      <c r="E177" s="5" t="s">
        <v>39</v>
      </c>
      <c r="F177" s="5" t="s">
        <v>21</v>
      </c>
      <c r="G177" s="5" t="s">
        <v>18</v>
      </c>
    </row>
    <row r="178">
      <c r="A178" s="4">
        <v>45951.0</v>
      </c>
      <c r="B178" s="5" t="s">
        <v>377</v>
      </c>
      <c r="C178" s="6">
        <v>5.4911407797359E13</v>
      </c>
      <c r="D178" s="5" t="s">
        <v>378</v>
      </c>
      <c r="E178" s="5" t="s">
        <v>16</v>
      </c>
      <c r="F178" s="5" t="s">
        <v>21</v>
      </c>
      <c r="G178" s="5" t="s">
        <v>25</v>
      </c>
    </row>
    <row r="179">
      <c r="A179" s="4">
        <v>45951.0</v>
      </c>
      <c r="B179" s="5" t="s">
        <v>379</v>
      </c>
      <c r="C179" s="6">
        <v>5.41136370331E11</v>
      </c>
      <c r="D179" s="5" t="s">
        <v>380</v>
      </c>
      <c r="E179" s="5" t="s">
        <v>24</v>
      </c>
      <c r="F179" s="5" t="s">
        <v>21</v>
      </c>
      <c r="G179" s="5" t="s">
        <v>25</v>
      </c>
    </row>
    <row r="180">
      <c r="A180" s="4">
        <v>45951.0</v>
      </c>
      <c r="B180" s="5" t="s">
        <v>381</v>
      </c>
      <c r="C180" s="6">
        <v>5.43764328652E11</v>
      </c>
      <c r="D180" s="5" t="s">
        <v>382</v>
      </c>
      <c r="E180" s="5" t="s">
        <v>16</v>
      </c>
      <c r="F180" s="5" t="s">
        <v>21</v>
      </c>
      <c r="G180" s="5" t="s">
        <v>25</v>
      </c>
    </row>
    <row r="181">
      <c r="A181" s="4">
        <v>45952.0</v>
      </c>
      <c r="B181" s="5" t="s">
        <v>383</v>
      </c>
      <c r="C181" s="6">
        <v>5.42920204357E11</v>
      </c>
      <c r="D181" s="5" t="s">
        <v>384</v>
      </c>
      <c r="E181" s="5" t="s">
        <v>39</v>
      </c>
      <c r="F181" s="5" t="s">
        <v>21</v>
      </c>
      <c r="G181" s="5" t="s">
        <v>25</v>
      </c>
    </row>
    <row r="182">
      <c r="A182" s="4">
        <v>45952.0</v>
      </c>
      <c r="B182" s="5" t="s">
        <v>385</v>
      </c>
      <c r="C182" s="6">
        <v>5.43468544483E11</v>
      </c>
      <c r="D182" s="5" t="s">
        <v>386</v>
      </c>
      <c r="E182" s="5" t="s">
        <v>16</v>
      </c>
      <c r="F182" s="5" t="s">
        <v>21</v>
      </c>
      <c r="G182" s="5" t="s">
        <v>18</v>
      </c>
    </row>
    <row r="183">
      <c r="A183" s="4">
        <v>45952.0</v>
      </c>
      <c r="B183" s="5" t="s">
        <v>387</v>
      </c>
      <c r="C183" s="6">
        <v>5.42657281925E11</v>
      </c>
      <c r="D183" s="5" t="s">
        <v>388</v>
      </c>
      <c r="E183" s="5" t="s">
        <v>16</v>
      </c>
      <c r="F183" s="5" t="s">
        <v>21</v>
      </c>
      <c r="G183" s="5" t="s">
        <v>18</v>
      </c>
    </row>
    <row r="184">
      <c r="A184" s="4">
        <v>45952.0</v>
      </c>
      <c r="B184" s="5" t="s">
        <v>389</v>
      </c>
      <c r="C184" s="6">
        <v>5.43518638992E11</v>
      </c>
      <c r="D184" s="5" t="s">
        <v>390</v>
      </c>
      <c r="E184" s="5" t="s">
        <v>39</v>
      </c>
      <c r="F184" s="5" t="s">
        <v>21</v>
      </c>
      <c r="G184" s="5" t="s">
        <v>25</v>
      </c>
    </row>
    <row r="185">
      <c r="A185" s="4">
        <v>45952.0</v>
      </c>
      <c r="B185" s="5" t="s">
        <v>391</v>
      </c>
      <c r="C185" s="6">
        <v>5.41128454113E11</v>
      </c>
      <c r="D185" s="5" t="s">
        <v>392</v>
      </c>
      <c r="E185" s="5" t="s">
        <v>39</v>
      </c>
      <c r="F185" s="5" t="s">
        <v>21</v>
      </c>
      <c r="G185" s="5" t="s">
        <v>18</v>
      </c>
    </row>
    <row r="186">
      <c r="A186" s="4">
        <v>45952.0</v>
      </c>
      <c r="B186" s="5" t="s">
        <v>393</v>
      </c>
      <c r="C186" s="6">
        <v>5.41151810155E11</v>
      </c>
      <c r="D186" s="5" t="s">
        <v>394</v>
      </c>
      <c r="E186" s="5" t="s">
        <v>39</v>
      </c>
      <c r="F186" s="5" t="s">
        <v>21</v>
      </c>
      <c r="G186" s="5" t="s">
        <v>18</v>
      </c>
    </row>
    <row r="187">
      <c r="A187" s="4">
        <v>45952.0</v>
      </c>
      <c r="B187" s="5" t="s">
        <v>395</v>
      </c>
      <c r="C187" s="6">
        <v>5.43513457173E11</v>
      </c>
      <c r="D187" s="5" t="s">
        <v>396</v>
      </c>
      <c r="E187" s="5" t="s">
        <v>16</v>
      </c>
      <c r="F187" s="5" t="s">
        <v>314</v>
      </c>
      <c r="G187" s="5" t="s">
        <v>18</v>
      </c>
    </row>
    <row r="188">
      <c r="A188" s="4">
        <v>45952.0</v>
      </c>
      <c r="B188" s="5" t="s">
        <v>397</v>
      </c>
      <c r="C188" s="6">
        <v>5.43512023478E11</v>
      </c>
      <c r="D188" s="5" t="s">
        <v>398</v>
      </c>
      <c r="E188" s="5" t="s">
        <v>24</v>
      </c>
      <c r="F188" s="5" t="s">
        <v>314</v>
      </c>
      <c r="G188" s="5" t="s">
        <v>18</v>
      </c>
    </row>
    <row r="189">
      <c r="A189" s="4">
        <v>45952.0</v>
      </c>
      <c r="B189" s="5" t="s">
        <v>399</v>
      </c>
      <c r="C189" s="6">
        <v>5.41157638001E11</v>
      </c>
      <c r="D189" s="5" t="s">
        <v>400</v>
      </c>
      <c r="E189" s="5" t="s">
        <v>24</v>
      </c>
      <c r="F189" s="5" t="s">
        <v>21</v>
      </c>
      <c r="G189" s="5" t="s">
        <v>25</v>
      </c>
    </row>
    <row r="190">
      <c r="A190" s="4">
        <v>45952.0</v>
      </c>
      <c r="B190" s="5" t="s">
        <v>401</v>
      </c>
      <c r="C190" s="6">
        <v>5.41169315154E11</v>
      </c>
      <c r="D190" s="5" t="s">
        <v>402</v>
      </c>
      <c r="E190" s="5" t="s">
        <v>39</v>
      </c>
      <c r="F190" s="5" t="s">
        <v>21</v>
      </c>
      <c r="G190" s="5" t="s">
        <v>25</v>
      </c>
    </row>
    <row r="191">
      <c r="A191" s="4">
        <v>45953.0</v>
      </c>
      <c r="B191" s="5" t="s">
        <v>403</v>
      </c>
      <c r="C191" s="6">
        <v>5.43406644978E11</v>
      </c>
      <c r="D191" s="5" t="s">
        <v>404</v>
      </c>
      <c r="E191" s="5" t="s">
        <v>24</v>
      </c>
      <c r="F191" s="5" t="s">
        <v>21</v>
      </c>
      <c r="G191" s="5" t="s">
        <v>18</v>
      </c>
    </row>
    <row r="192">
      <c r="A192" s="4">
        <v>45953.0</v>
      </c>
      <c r="B192" s="5" t="s">
        <v>405</v>
      </c>
      <c r="C192" s="6">
        <v>5.42804725931E11</v>
      </c>
      <c r="D192" s="5" t="s">
        <v>406</v>
      </c>
      <c r="E192" s="5" t="s">
        <v>16</v>
      </c>
      <c r="F192" s="5" t="s">
        <v>314</v>
      </c>
      <c r="G192" s="5" t="s">
        <v>18</v>
      </c>
    </row>
    <row r="193">
      <c r="A193" s="4">
        <v>45953.0</v>
      </c>
      <c r="B193" s="5" t="s">
        <v>407</v>
      </c>
      <c r="C193" s="6">
        <v>5.42974012669E11</v>
      </c>
      <c r="D193" s="5" t="s">
        <v>408</v>
      </c>
      <c r="E193" s="5" t="s">
        <v>24</v>
      </c>
      <c r="F193" s="5" t="s">
        <v>21</v>
      </c>
      <c r="G193" s="5" t="s">
        <v>25</v>
      </c>
    </row>
    <row r="194">
      <c r="A194" s="4">
        <v>45953.0</v>
      </c>
      <c r="B194" s="5" t="s">
        <v>409</v>
      </c>
      <c r="C194" s="6">
        <v>5.42915764374E11</v>
      </c>
      <c r="D194" s="5" t="s">
        <v>410</v>
      </c>
      <c r="E194" s="5" t="s">
        <v>39</v>
      </c>
      <c r="F194" s="5" t="s">
        <v>314</v>
      </c>
      <c r="G194" s="5" t="s">
        <v>18</v>
      </c>
    </row>
    <row r="195">
      <c r="A195" s="4">
        <v>45953.0</v>
      </c>
      <c r="B195" s="5" t="s">
        <v>411</v>
      </c>
      <c r="C195" s="6">
        <v>5.41167221497E11</v>
      </c>
      <c r="D195" s="5" t="s">
        <v>412</v>
      </c>
      <c r="E195" s="5" t="s">
        <v>39</v>
      </c>
      <c r="F195" s="5" t="s">
        <v>21</v>
      </c>
      <c r="G195" s="5" t="s">
        <v>18</v>
      </c>
    </row>
    <row r="196">
      <c r="A196" s="4">
        <v>45953.0</v>
      </c>
      <c r="B196" s="5" t="s">
        <v>413</v>
      </c>
      <c r="C196" s="6">
        <v>5.42926405986E11</v>
      </c>
      <c r="D196" s="5" t="s">
        <v>414</v>
      </c>
      <c r="E196" s="5" t="s">
        <v>16</v>
      </c>
      <c r="F196" s="5" t="s">
        <v>21</v>
      </c>
      <c r="G196" s="5" t="s">
        <v>18</v>
      </c>
    </row>
    <row r="197">
      <c r="A197" s="4">
        <v>45953.0</v>
      </c>
      <c r="B197" s="5" t="s">
        <v>415</v>
      </c>
      <c r="C197" s="6">
        <v>5.42915032524E11</v>
      </c>
      <c r="D197" s="5" t="s">
        <v>416</v>
      </c>
      <c r="E197" s="5" t="s">
        <v>24</v>
      </c>
      <c r="F197" s="5" t="s">
        <v>21</v>
      </c>
      <c r="G197" s="5" t="s">
        <v>25</v>
      </c>
    </row>
    <row r="198">
      <c r="A198" s="4">
        <v>45953.0</v>
      </c>
      <c r="B198" s="5" t="s">
        <v>417</v>
      </c>
      <c r="C198" s="6">
        <v>5.42634477656E11</v>
      </c>
      <c r="D198" s="5" t="s">
        <v>418</v>
      </c>
      <c r="E198" s="5" t="s">
        <v>39</v>
      </c>
      <c r="F198" s="5" t="s">
        <v>21</v>
      </c>
      <c r="G198" s="5" t="s">
        <v>25</v>
      </c>
    </row>
    <row r="199">
      <c r="A199" s="4">
        <v>45953.0</v>
      </c>
      <c r="B199" s="5" t="s">
        <v>419</v>
      </c>
      <c r="C199" s="6">
        <v>5.43532677979E11</v>
      </c>
      <c r="D199" s="5" t="s">
        <v>420</v>
      </c>
      <c r="E199" s="5" t="s">
        <v>16</v>
      </c>
      <c r="F199" s="5" t="s">
        <v>21</v>
      </c>
      <c r="G199" s="5" t="s">
        <v>25</v>
      </c>
    </row>
    <row r="200">
      <c r="A200" s="4">
        <v>45953.0</v>
      </c>
      <c r="B200" s="5" t="s">
        <v>421</v>
      </c>
      <c r="C200" s="6">
        <v>5.402604418824E12</v>
      </c>
      <c r="D200" s="5" t="s">
        <v>422</v>
      </c>
      <c r="E200" s="5" t="s">
        <v>24</v>
      </c>
      <c r="F200" s="5" t="s">
        <v>21</v>
      </c>
      <c r="G200" s="5" t="s">
        <v>18</v>
      </c>
    </row>
    <row r="201">
      <c r="A201" s="4">
        <v>45953.0</v>
      </c>
      <c r="B201" s="5" t="s">
        <v>423</v>
      </c>
      <c r="C201" s="6">
        <v>5.41155013538E11</v>
      </c>
      <c r="D201" s="5" t="s">
        <v>424</v>
      </c>
      <c r="E201" s="5" t="s">
        <v>24</v>
      </c>
      <c r="F201" s="5" t="s">
        <v>21</v>
      </c>
      <c r="G201" s="5" t="s">
        <v>18</v>
      </c>
    </row>
    <row r="202">
      <c r="A202" s="4">
        <v>45953.0</v>
      </c>
      <c r="B202" s="5" t="s">
        <v>425</v>
      </c>
      <c r="C202" s="6">
        <v>5.42346307713E11</v>
      </c>
      <c r="D202" s="5" t="s">
        <v>426</v>
      </c>
      <c r="E202" s="5" t="s">
        <v>24</v>
      </c>
      <c r="F202" s="5" t="s">
        <v>21</v>
      </c>
      <c r="G202" s="5" t="s">
        <v>18</v>
      </c>
    </row>
    <row r="203">
      <c r="A203" s="4">
        <v>45953.0</v>
      </c>
      <c r="B203" s="5" t="s">
        <v>427</v>
      </c>
      <c r="C203" s="6">
        <v>5.41163218081E11</v>
      </c>
      <c r="D203" s="5" t="s">
        <v>428</v>
      </c>
      <c r="E203" s="5" t="s">
        <v>24</v>
      </c>
      <c r="F203" s="5" t="s">
        <v>21</v>
      </c>
      <c r="G203" s="5" t="s">
        <v>18</v>
      </c>
    </row>
    <row r="204">
      <c r="A204" s="4">
        <v>45953.0</v>
      </c>
      <c r="B204" s="5" t="s">
        <v>429</v>
      </c>
      <c r="C204" s="6">
        <v>5.43463407619E11</v>
      </c>
      <c r="D204" s="5" t="s">
        <v>430</v>
      </c>
      <c r="E204" s="5" t="s">
        <v>16</v>
      </c>
      <c r="F204" s="5" t="s">
        <v>21</v>
      </c>
      <c r="G204" s="5" t="s">
        <v>25</v>
      </c>
    </row>
    <row r="205">
      <c r="A205" s="4">
        <v>45953.0</v>
      </c>
      <c r="B205" s="5" t="s">
        <v>431</v>
      </c>
      <c r="C205" s="6">
        <v>5.42345533459E11</v>
      </c>
      <c r="D205" s="5" t="s">
        <v>432</v>
      </c>
      <c r="E205" s="5" t="s">
        <v>39</v>
      </c>
      <c r="F205" s="5" t="s">
        <v>21</v>
      </c>
      <c r="G205" s="5" t="s">
        <v>25</v>
      </c>
    </row>
    <row r="206">
      <c r="A206" s="4">
        <v>45953.0</v>
      </c>
      <c r="B206" s="5" t="s">
        <v>433</v>
      </c>
      <c r="C206" s="6">
        <v>5.42966542357E11</v>
      </c>
      <c r="D206" s="5" t="s">
        <v>434</v>
      </c>
      <c r="E206" s="5" t="s">
        <v>39</v>
      </c>
      <c r="F206" s="5" t="s">
        <v>21</v>
      </c>
      <c r="G206" s="5" t="s">
        <v>18</v>
      </c>
    </row>
    <row r="207">
      <c r="A207" s="4">
        <v>45954.0</v>
      </c>
      <c r="B207" s="5" t="s">
        <v>435</v>
      </c>
      <c r="C207" s="6">
        <v>5.401161071112E12</v>
      </c>
      <c r="D207" s="5" t="s">
        <v>436</v>
      </c>
      <c r="E207" s="5" t="s">
        <v>16</v>
      </c>
      <c r="F207" s="5" t="s">
        <v>32</v>
      </c>
      <c r="G207" s="5" t="s">
        <v>25</v>
      </c>
    </row>
    <row r="208">
      <c r="A208" s="4">
        <v>45954.0</v>
      </c>
      <c r="B208" s="5" t="s">
        <v>437</v>
      </c>
      <c r="C208" s="6">
        <v>5.41123293721E11</v>
      </c>
      <c r="D208" s="5" t="s">
        <v>438</v>
      </c>
      <c r="E208" s="5" t="s">
        <v>39</v>
      </c>
      <c r="F208" s="5" t="s">
        <v>21</v>
      </c>
      <c r="G208" s="5" t="s">
        <v>18</v>
      </c>
    </row>
    <row r="209">
      <c r="A209" s="4">
        <v>45954.0</v>
      </c>
      <c r="B209" s="5" t="s">
        <v>439</v>
      </c>
      <c r="C209" s="6">
        <v>5.42984783292E11</v>
      </c>
      <c r="D209" s="5" t="s">
        <v>440</v>
      </c>
      <c r="E209" s="5" t="s">
        <v>16</v>
      </c>
      <c r="F209" s="5" t="s">
        <v>21</v>
      </c>
      <c r="G209" s="5" t="s">
        <v>25</v>
      </c>
    </row>
    <row r="210">
      <c r="A210" s="4">
        <v>45954.0</v>
      </c>
      <c r="B210" s="5" t="s">
        <v>441</v>
      </c>
      <c r="C210" s="6">
        <v>5.41165039332E11</v>
      </c>
      <c r="D210" s="5" t="s">
        <v>442</v>
      </c>
      <c r="E210" s="5" t="s">
        <v>24</v>
      </c>
      <c r="F210" s="5" t="s">
        <v>21</v>
      </c>
      <c r="G210" s="5" t="s">
        <v>18</v>
      </c>
    </row>
    <row r="211">
      <c r="A211" s="4">
        <v>45954.0</v>
      </c>
      <c r="B211" s="5" t="s">
        <v>443</v>
      </c>
      <c r="C211" s="6">
        <v>5.43775459884E11</v>
      </c>
      <c r="D211" s="5" t="s">
        <v>444</v>
      </c>
      <c r="E211" s="5" t="s">
        <v>16</v>
      </c>
      <c r="F211" s="5" t="s">
        <v>21</v>
      </c>
      <c r="G211" s="5" t="s">
        <v>25</v>
      </c>
    </row>
    <row r="212">
      <c r="A212" s="4">
        <v>45954.0</v>
      </c>
      <c r="B212" s="5" t="s">
        <v>445</v>
      </c>
      <c r="C212" s="6">
        <v>5.492901533084E12</v>
      </c>
      <c r="D212" s="5" t="s">
        <v>446</v>
      </c>
      <c r="E212" s="5" t="s">
        <v>16</v>
      </c>
      <c r="F212" s="5" t="s">
        <v>21</v>
      </c>
      <c r="G212" s="5" t="s">
        <v>25</v>
      </c>
    </row>
    <row r="213">
      <c r="A213" s="4">
        <v>45954.0</v>
      </c>
      <c r="B213" s="5" t="s">
        <v>447</v>
      </c>
      <c r="C213" s="6">
        <v>5.41156245566E11</v>
      </c>
      <c r="D213" s="5" t="s">
        <v>448</v>
      </c>
      <c r="E213" s="5" t="s">
        <v>16</v>
      </c>
      <c r="F213" s="5" t="s">
        <v>21</v>
      </c>
      <c r="G213" s="5" t="s">
        <v>18</v>
      </c>
    </row>
    <row r="214">
      <c r="A214" s="4">
        <v>45954.0</v>
      </c>
      <c r="B214" s="5" t="s">
        <v>449</v>
      </c>
      <c r="C214" s="6">
        <v>5.41164811859E11</v>
      </c>
      <c r="D214" s="5" t="s">
        <v>450</v>
      </c>
      <c r="E214" s="5" t="s">
        <v>39</v>
      </c>
      <c r="F214" s="5" t="s">
        <v>21</v>
      </c>
      <c r="G214" s="5" t="s">
        <v>18</v>
      </c>
    </row>
    <row r="215">
      <c r="A215" s="4">
        <v>45954.0</v>
      </c>
      <c r="B215" s="5" t="s">
        <v>451</v>
      </c>
      <c r="C215" s="6">
        <v>5.43434634683E11</v>
      </c>
      <c r="D215" s="5" t="s">
        <v>452</v>
      </c>
      <c r="E215" s="5" t="s">
        <v>39</v>
      </c>
      <c r="F215" s="5" t="s">
        <v>21</v>
      </c>
      <c r="G215" s="5" t="s">
        <v>25</v>
      </c>
    </row>
    <row r="216">
      <c r="A216" s="4">
        <v>45954.0</v>
      </c>
      <c r="B216" s="5" t="s">
        <v>453</v>
      </c>
      <c r="C216" s="6">
        <v>3.751344693E9</v>
      </c>
      <c r="D216" s="5" t="s">
        <v>454</v>
      </c>
      <c r="E216" s="5" t="s">
        <v>24</v>
      </c>
      <c r="F216" s="5" t="s">
        <v>21</v>
      </c>
      <c r="G216" s="5" t="s">
        <v>25</v>
      </c>
    </row>
    <row r="217">
      <c r="A217" s="4">
        <v>45954.0</v>
      </c>
      <c r="B217" s="5" t="s">
        <v>455</v>
      </c>
      <c r="C217" s="6">
        <v>5.41150644914E11</v>
      </c>
      <c r="D217" s="5" t="s">
        <v>456</v>
      </c>
      <c r="E217" s="5" t="s">
        <v>39</v>
      </c>
      <c r="F217" s="5" t="s">
        <v>21</v>
      </c>
      <c r="G217" s="5" t="s">
        <v>25</v>
      </c>
    </row>
    <row r="218">
      <c r="A218" s="4">
        <v>45954.0</v>
      </c>
      <c r="B218" s="5" t="s">
        <v>457</v>
      </c>
      <c r="C218" s="6">
        <v>5.42995514285E11</v>
      </c>
      <c r="D218" s="5" t="s">
        <v>458</v>
      </c>
      <c r="E218" s="5" t="s">
        <v>39</v>
      </c>
      <c r="F218" s="5" t="s">
        <v>21</v>
      </c>
      <c r="G218" s="5" t="s">
        <v>25</v>
      </c>
    </row>
    <row r="219">
      <c r="A219" s="4">
        <v>45954.0</v>
      </c>
      <c r="B219" s="5" t="s">
        <v>459</v>
      </c>
      <c r="C219" s="6">
        <v>5.41140861254E11</v>
      </c>
      <c r="D219" s="5" t="s">
        <v>460</v>
      </c>
      <c r="E219" s="5" t="s">
        <v>39</v>
      </c>
      <c r="F219" s="5" t="s">
        <v>21</v>
      </c>
      <c r="G219" s="5" t="s">
        <v>25</v>
      </c>
    </row>
    <row r="220">
      <c r="A220" s="4">
        <v>45954.0</v>
      </c>
      <c r="B220" s="5" t="s">
        <v>461</v>
      </c>
      <c r="C220" s="6">
        <v>5.41162253764E11</v>
      </c>
      <c r="D220" s="5" t="s">
        <v>462</v>
      </c>
      <c r="E220" s="5" t="s">
        <v>16</v>
      </c>
      <c r="F220" s="5" t="s">
        <v>21</v>
      </c>
      <c r="G220" s="5" t="s">
        <v>58</v>
      </c>
    </row>
    <row r="221">
      <c r="A221" s="4">
        <v>45955.0</v>
      </c>
      <c r="B221" s="5" t="s">
        <v>463</v>
      </c>
      <c r="C221" s="6">
        <v>5.493855188202E12</v>
      </c>
      <c r="D221" s="5" t="s">
        <v>464</v>
      </c>
      <c r="E221" s="5" t="s">
        <v>16</v>
      </c>
      <c r="F221" s="5" t="s">
        <v>21</v>
      </c>
      <c r="G221" s="5" t="s">
        <v>25</v>
      </c>
    </row>
    <row r="222">
      <c r="A222" s="4">
        <v>45955.0</v>
      </c>
      <c r="B222" s="5" t="s">
        <v>465</v>
      </c>
      <c r="C222" s="6">
        <v>5.41170212953E11</v>
      </c>
      <c r="D222" s="5" t="s">
        <v>466</v>
      </c>
      <c r="E222" s="5" t="s">
        <v>39</v>
      </c>
      <c r="F222" s="5" t="s">
        <v>21</v>
      </c>
      <c r="G222" s="5" t="s">
        <v>25</v>
      </c>
    </row>
    <row r="223">
      <c r="A223" s="4">
        <v>45955.0</v>
      </c>
      <c r="B223" s="5" t="s">
        <v>467</v>
      </c>
      <c r="C223" s="6">
        <v>3.454198277E9</v>
      </c>
      <c r="D223" s="5" t="s">
        <v>468</v>
      </c>
      <c r="E223" s="5" t="s">
        <v>16</v>
      </c>
      <c r="F223" s="5" t="s">
        <v>21</v>
      </c>
      <c r="G223" s="5" t="s">
        <v>18</v>
      </c>
    </row>
    <row r="224">
      <c r="A224" s="4">
        <v>45955.0</v>
      </c>
      <c r="B224" s="5" t="s">
        <v>469</v>
      </c>
      <c r="C224" s="6">
        <v>5.43564517745E11</v>
      </c>
      <c r="D224" s="5" t="s">
        <v>470</v>
      </c>
      <c r="E224" s="5" t="s">
        <v>39</v>
      </c>
      <c r="F224" s="5" t="s">
        <v>21</v>
      </c>
      <c r="G224" s="5" t="s">
        <v>18</v>
      </c>
    </row>
    <row r="225">
      <c r="A225" s="4">
        <v>45955.0</v>
      </c>
      <c r="B225" s="5" t="s">
        <v>471</v>
      </c>
      <c r="C225" s="6">
        <v>5.43364596481E11</v>
      </c>
      <c r="D225" s="5" t="s">
        <v>472</v>
      </c>
      <c r="E225" s="5" t="s">
        <v>16</v>
      </c>
      <c r="F225" s="5" t="s">
        <v>21</v>
      </c>
      <c r="G225" s="5" t="s">
        <v>18</v>
      </c>
    </row>
    <row r="226">
      <c r="A226" s="4">
        <v>45955.0</v>
      </c>
      <c r="B226" s="5" t="s">
        <v>473</v>
      </c>
      <c r="C226" s="6">
        <v>5.41156517912E11</v>
      </c>
      <c r="D226" s="5" t="s">
        <v>474</v>
      </c>
      <c r="E226" s="5" t="s">
        <v>39</v>
      </c>
      <c r="F226" s="5" t="s">
        <v>21</v>
      </c>
      <c r="G226" s="5" t="s">
        <v>18</v>
      </c>
    </row>
    <row r="227">
      <c r="A227" s="4">
        <v>45955.0</v>
      </c>
      <c r="B227" s="5" t="s">
        <v>475</v>
      </c>
      <c r="C227" s="6">
        <v>5.41150165231E11</v>
      </c>
      <c r="D227" s="5" t="s">
        <v>476</v>
      </c>
      <c r="E227" s="5" t="s">
        <v>24</v>
      </c>
      <c r="F227" s="5" t="s">
        <v>21</v>
      </c>
      <c r="G227" s="5" t="s">
        <v>58</v>
      </c>
    </row>
    <row r="228">
      <c r="A228" s="4">
        <v>45955.0</v>
      </c>
      <c r="B228" s="5" t="s">
        <v>477</v>
      </c>
      <c r="C228" s="6">
        <v>5.43405504893E11</v>
      </c>
      <c r="D228" s="5" t="s">
        <v>478</v>
      </c>
      <c r="E228" s="5" t="s">
        <v>16</v>
      </c>
      <c r="F228" s="5" t="s">
        <v>21</v>
      </c>
      <c r="G228" s="5" t="s">
        <v>18</v>
      </c>
    </row>
    <row r="229">
      <c r="A229" s="4">
        <v>45955.0</v>
      </c>
      <c r="B229" s="5" t="s">
        <v>479</v>
      </c>
      <c r="C229" s="6">
        <v>5.43513856197E11</v>
      </c>
      <c r="D229" s="5" t="s">
        <v>480</v>
      </c>
      <c r="E229" s="5" t="s">
        <v>24</v>
      </c>
      <c r="F229" s="5" t="s">
        <v>21</v>
      </c>
      <c r="G229" s="5" t="s">
        <v>25</v>
      </c>
    </row>
    <row r="230">
      <c r="A230" s="4">
        <v>45955.0</v>
      </c>
      <c r="B230" s="5" t="s">
        <v>481</v>
      </c>
      <c r="C230" s="6">
        <v>5.43884745766E11</v>
      </c>
      <c r="D230" s="5" t="s">
        <v>482</v>
      </c>
      <c r="E230" s="5" t="s">
        <v>39</v>
      </c>
      <c r="F230" s="5" t="s">
        <v>21</v>
      </c>
      <c r="G230" s="5" t="s">
        <v>25</v>
      </c>
    </row>
    <row r="231">
      <c r="A231" s="4">
        <v>45956.0</v>
      </c>
      <c r="B231" s="5" t="s">
        <v>483</v>
      </c>
      <c r="C231" s="6">
        <v>5.43482659393E11</v>
      </c>
      <c r="D231" s="5" t="s">
        <v>484</v>
      </c>
      <c r="E231" s="5" t="s">
        <v>16</v>
      </c>
      <c r="F231" s="5" t="s">
        <v>314</v>
      </c>
      <c r="G231" s="5" t="s">
        <v>25</v>
      </c>
    </row>
    <row r="232">
      <c r="A232" s="4">
        <v>45956.0</v>
      </c>
      <c r="B232" s="5" t="s">
        <v>485</v>
      </c>
      <c r="C232" s="6">
        <v>5.43435018924E11</v>
      </c>
      <c r="D232" s="5" t="s">
        <v>486</v>
      </c>
      <c r="E232" s="5" t="s">
        <v>39</v>
      </c>
      <c r="F232" s="5" t="s">
        <v>21</v>
      </c>
      <c r="G232" s="5" t="s">
        <v>18</v>
      </c>
    </row>
    <row r="233">
      <c r="A233" s="4">
        <v>45956.0</v>
      </c>
      <c r="B233" s="5" t="s">
        <v>487</v>
      </c>
      <c r="C233" s="6">
        <v>5.43804661643E11</v>
      </c>
      <c r="D233" s="5" t="s">
        <v>488</v>
      </c>
      <c r="E233" s="5" t="s">
        <v>16</v>
      </c>
      <c r="F233" s="5" t="s">
        <v>21</v>
      </c>
      <c r="G233" s="5" t="s">
        <v>18</v>
      </c>
    </row>
    <row r="234">
      <c r="A234" s="4">
        <v>45956.0</v>
      </c>
      <c r="B234" s="5" t="s">
        <v>489</v>
      </c>
      <c r="C234" s="6">
        <v>5.41122118328E11</v>
      </c>
      <c r="D234" s="5" t="s">
        <v>490</v>
      </c>
      <c r="E234" s="5" t="s">
        <v>24</v>
      </c>
      <c r="F234" s="5" t="s">
        <v>21</v>
      </c>
      <c r="G234" s="5" t="s">
        <v>25</v>
      </c>
    </row>
    <row r="235">
      <c r="A235" s="4">
        <v>45956.0</v>
      </c>
      <c r="B235" s="5" t="s">
        <v>491</v>
      </c>
      <c r="C235" s="6">
        <v>5.41141899356E11</v>
      </c>
      <c r="D235" s="5" t="s">
        <v>492</v>
      </c>
      <c r="E235" s="5" t="s">
        <v>39</v>
      </c>
      <c r="F235" s="5" t="s">
        <v>21</v>
      </c>
      <c r="G235" s="5" t="s">
        <v>18</v>
      </c>
    </row>
    <row r="236">
      <c r="A236" s="4">
        <v>45956.0</v>
      </c>
      <c r="B236" s="5" t="s">
        <v>493</v>
      </c>
      <c r="C236" s="6">
        <v>5.41150505223E11</v>
      </c>
      <c r="D236" s="5" t="s">
        <v>494</v>
      </c>
      <c r="E236" s="5" t="s">
        <v>39</v>
      </c>
      <c r="F236" s="5" t="s">
        <v>21</v>
      </c>
      <c r="G236" s="5" t="s">
        <v>18</v>
      </c>
    </row>
    <row r="237">
      <c r="A237" s="4">
        <v>45956.0</v>
      </c>
      <c r="B237" s="5" t="s">
        <v>495</v>
      </c>
      <c r="C237" s="6">
        <v>5.41158779934E11</v>
      </c>
      <c r="D237" s="5" t="s">
        <v>496</v>
      </c>
      <c r="E237" s="5" t="s">
        <v>24</v>
      </c>
      <c r="F237" s="5" t="s">
        <v>21</v>
      </c>
      <c r="G237" s="5" t="s">
        <v>25</v>
      </c>
    </row>
    <row r="238">
      <c r="A238" s="4">
        <v>45956.0</v>
      </c>
      <c r="B238" s="5" t="s">
        <v>497</v>
      </c>
      <c r="C238" s="6">
        <v>5.491133152883E12</v>
      </c>
      <c r="D238" s="5" t="s">
        <v>498</v>
      </c>
      <c r="E238" s="5" t="s">
        <v>39</v>
      </c>
      <c r="F238" s="5" t="s">
        <v>21</v>
      </c>
      <c r="G238" s="5" t="s">
        <v>25</v>
      </c>
    </row>
    <row r="239">
      <c r="A239" s="4">
        <v>45956.0</v>
      </c>
      <c r="B239" s="5" t="s">
        <v>499</v>
      </c>
      <c r="C239" s="6">
        <v>5.42645130982E11</v>
      </c>
      <c r="D239" s="5" t="s">
        <v>500</v>
      </c>
      <c r="E239" s="5" t="s">
        <v>39</v>
      </c>
      <c r="F239" s="5" t="s">
        <v>21</v>
      </c>
      <c r="G239" s="5" t="s">
        <v>25</v>
      </c>
    </row>
    <row r="240">
      <c r="A240" s="4">
        <v>45956.0</v>
      </c>
      <c r="B240" s="5" t="s">
        <v>501</v>
      </c>
      <c r="C240" s="6">
        <v>5.41130530419E11</v>
      </c>
      <c r="D240" s="5" t="s">
        <v>502</v>
      </c>
      <c r="E240" s="5" t="s">
        <v>24</v>
      </c>
      <c r="F240" s="5" t="s">
        <v>21</v>
      </c>
      <c r="G240" s="5" t="s">
        <v>18</v>
      </c>
    </row>
    <row r="241">
      <c r="A241" s="4">
        <v>45956.0</v>
      </c>
      <c r="B241" s="5" t="s">
        <v>503</v>
      </c>
      <c r="C241" s="6">
        <v>5.491159488465E12</v>
      </c>
      <c r="D241" s="5" t="s">
        <v>504</v>
      </c>
      <c r="E241" s="5" t="s">
        <v>24</v>
      </c>
      <c r="F241" s="5" t="s">
        <v>21</v>
      </c>
      <c r="G241" s="5" t="s">
        <v>18</v>
      </c>
    </row>
    <row r="242">
      <c r="A242" s="4">
        <v>45956.0</v>
      </c>
      <c r="B242" s="5" t="s">
        <v>505</v>
      </c>
      <c r="C242" s="6">
        <v>5.41121909177E11</v>
      </c>
      <c r="D242" s="5" t="s">
        <v>506</v>
      </c>
      <c r="E242" s="5" t="s">
        <v>39</v>
      </c>
      <c r="F242" s="5" t="s">
        <v>21</v>
      </c>
      <c r="G242" s="5" t="s">
        <v>25</v>
      </c>
    </row>
    <row r="243">
      <c r="A243" s="4">
        <v>45957.0</v>
      </c>
      <c r="B243" s="5" t="s">
        <v>507</v>
      </c>
      <c r="C243" s="6">
        <v>5.41132703364E11</v>
      </c>
      <c r="D243" s="5" t="s">
        <v>508</v>
      </c>
      <c r="E243" s="5" t="s">
        <v>24</v>
      </c>
      <c r="F243" s="5" t="s">
        <v>21</v>
      </c>
      <c r="G243" s="5" t="s">
        <v>25</v>
      </c>
    </row>
    <row r="244">
      <c r="A244" s="4">
        <v>45957.0</v>
      </c>
      <c r="B244" s="5" t="s">
        <v>509</v>
      </c>
      <c r="C244" s="6">
        <v>5.43415971731E11</v>
      </c>
      <c r="D244" s="5" t="s">
        <v>510</v>
      </c>
      <c r="E244" s="5" t="s">
        <v>24</v>
      </c>
      <c r="F244" s="5" t="s">
        <v>21</v>
      </c>
      <c r="G244" s="5" t="s">
        <v>25</v>
      </c>
    </row>
    <row r="245">
      <c r="A245" s="4">
        <v>45957.0</v>
      </c>
      <c r="B245" s="5" t="s">
        <v>511</v>
      </c>
      <c r="C245" s="6">
        <v>3.816619984E9</v>
      </c>
      <c r="D245" s="5" t="s">
        <v>512</v>
      </c>
      <c r="E245" s="5" t="s">
        <v>16</v>
      </c>
      <c r="F245" s="5" t="s">
        <v>21</v>
      </c>
      <c r="G245" s="5" t="s">
        <v>25</v>
      </c>
    </row>
    <row r="246">
      <c r="A246" s="4">
        <v>45957.0</v>
      </c>
      <c r="B246" s="5" t="s">
        <v>513</v>
      </c>
      <c r="C246" s="6">
        <v>5.491156667107E12</v>
      </c>
      <c r="D246" s="5" t="s">
        <v>514</v>
      </c>
      <c r="E246" s="5" t="s">
        <v>16</v>
      </c>
      <c r="F246" s="5" t="s">
        <v>32</v>
      </c>
      <c r="G246" s="5" t="s">
        <v>18</v>
      </c>
    </row>
    <row r="247">
      <c r="A247" s="4">
        <v>45957.0</v>
      </c>
      <c r="B247" s="5" t="s">
        <v>515</v>
      </c>
      <c r="C247" s="6">
        <v>5.41121645794E11</v>
      </c>
      <c r="D247" s="5" t="s">
        <v>516</v>
      </c>
      <c r="E247" s="5" t="s">
        <v>39</v>
      </c>
      <c r="F247" s="5" t="s">
        <v>21</v>
      </c>
      <c r="G247" s="5" t="s">
        <v>25</v>
      </c>
    </row>
    <row r="248">
      <c r="A248" s="4">
        <v>45957.0</v>
      </c>
      <c r="B248" s="5" t="s">
        <v>517</v>
      </c>
      <c r="C248" s="6">
        <v>5.42995199876E11</v>
      </c>
      <c r="D248" s="5" t="s">
        <v>518</v>
      </c>
      <c r="E248" s="5" t="s">
        <v>16</v>
      </c>
      <c r="F248" s="5" t="s">
        <v>314</v>
      </c>
      <c r="G248" s="5" t="s">
        <v>25</v>
      </c>
    </row>
    <row r="249">
      <c r="A249" s="4">
        <v>45957.0</v>
      </c>
      <c r="B249" s="5" t="s">
        <v>519</v>
      </c>
      <c r="C249" s="6">
        <v>5.42964414943E11</v>
      </c>
      <c r="D249" s="5" t="s">
        <v>520</v>
      </c>
      <c r="E249" s="5" t="s">
        <v>16</v>
      </c>
      <c r="F249" s="5" t="s">
        <v>21</v>
      </c>
      <c r="G249" s="5" t="s">
        <v>25</v>
      </c>
    </row>
    <row r="250">
      <c r="A250" s="4">
        <v>45957.0</v>
      </c>
      <c r="B250" s="5" t="s">
        <v>521</v>
      </c>
      <c r="C250" s="6">
        <v>5.42914411938E11</v>
      </c>
      <c r="D250" s="5" t="s">
        <v>522</v>
      </c>
      <c r="E250" s="5" t="s">
        <v>16</v>
      </c>
      <c r="F250" s="5" t="s">
        <v>21</v>
      </c>
      <c r="G250" s="5" t="s">
        <v>25</v>
      </c>
    </row>
    <row r="251">
      <c r="A251" s="4">
        <v>45957.0</v>
      </c>
      <c r="B251" s="5" t="s">
        <v>523</v>
      </c>
      <c r="C251" s="6">
        <v>5.42478503488E11</v>
      </c>
      <c r="D251" s="5" t="s">
        <v>524</v>
      </c>
      <c r="E251" s="5" t="s">
        <v>39</v>
      </c>
      <c r="F251" s="5" t="s">
        <v>21</v>
      </c>
      <c r="G251" s="5" t="s">
        <v>25</v>
      </c>
    </row>
    <row r="252">
      <c r="A252" s="4">
        <v>45957.0</v>
      </c>
      <c r="B252" s="5" t="s">
        <v>525</v>
      </c>
      <c r="C252" s="6">
        <v>5.43445554984E11</v>
      </c>
      <c r="D252" s="5" t="s">
        <v>526</v>
      </c>
      <c r="E252" s="5" t="s">
        <v>24</v>
      </c>
      <c r="F252" s="5" t="s">
        <v>21</v>
      </c>
      <c r="G252" s="5" t="s">
        <v>18</v>
      </c>
    </row>
    <row r="253">
      <c r="A253" s="4">
        <v>45958.0</v>
      </c>
      <c r="B253" s="5" t="s">
        <v>527</v>
      </c>
      <c r="C253" s="6">
        <v>5.43537444457E11</v>
      </c>
      <c r="D253" s="5" t="s">
        <v>528</v>
      </c>
      <c r="E253" s="5" t="s">
        <v>24</v>
      </c>
      <c r="F253" s="5" t="s">
        <v>314</v>
      </c>
      <c r="G253" s="5" t="s">
        <v>25</v>
      </c>
    </row>
    <row r="254">
      <c r="A254" s="4">
        <v>45958.0</v>
      </c>
      <c r="B254" s="5" t="s">
        <v>529</v>
      </c>
      <c r="C254" s="6">
        <v>5.42966547615E11</v>
      </c>
      <c r="D254" s="5" t="s">
        <v>530</v>
      </c>
      <c r="E254" s="5" t="s">
        <v>24</v>
      </c>
      <c r="F254" s="5" t="s">
        <v>21</v>
      </c>
      <c r="G254" s="5" t="s">
        <v>25</v>
      </c>
    </row>
    <row r="255">
      <c r="A255" s="4">
        <v>45958.0</v>
      </c>
      <c r="B255" s="5" t="s">
        <v>531</v>
      </c>
      <c r="C255" s="6">
        <v>5.41164604175E11</v>
      </c>
      <c r="D255" s="5" t="s">
        <v>532</v>
      </c>
      <c r="E255" s="5" t="s">
        <v>24</v>
      </c>
      <c r="F255" s="5" t="s">
        <v>21</v>
      </c>
      <c r="G255" s="5" t="s">
        <v>25</v>
      </c>
    </row>
    <row r="256">
      <c r="A256" s="4">
        <v>45958.0</v>
      </c>
      <c r="B256" s="5" t="s">
        <v>533</v>
      </c>
      <c r="C256" s="6">
        <v>5.492914254391E12</v>
      </c>
      <c r="D256" s="5" t="s">
        <v>534</v>
      </c>
      <c r="E256" s="5" t="s">
        <v>16</v>
      </c>
      <c r="F256" s="5" t="s">
        <v>21</v>
      </c>
      <c r="G256" s="5" t="s">
        <v>25</v>
      </c>
    </row>
    <row r="257">
      <c r="A257" s="4">
        <v>45958.0</v>
      </c>
      <c r="B257" s="5" t="s">
        <v>535</v>
      </c>
      <c r="C257" s="6">
        <v>5.41166369245E11</v>
      </c>
      <c r="D257" s="5" t="s">
        <v>536</v>
      </c>
      <c r="E257" s="5" t="s">
        <v>39</v>
      </c>
      <c r="F257" s="5" t="s">
        <v>314</v>
      </c>
      <c r="G257" s="5" t="s">
        <v>25</v>
      </c>
    </row>
    <row r="258">
      <c r="A258" s="4">
        <v>45958.0</v>
      </c>
      <c r="B258" s="5" t="s">
        <v>537</v>
      </c>
      <c r="C258" s="6">
        <v>5.43512329766E11</v>
      </c>
      <c r="D258" s="5" t="s">
        <v>538</v>
      </c>
      <c r="E258" s="5" t="s">
        <v>24</v>
      </c>
      <c r="F258" s="5" t="s">
        <v>21</v>
      </c>
      <c r="G258" s="5" t="s">
        <v>18</v>
      </c>
    </row>
    <row r="259">
      <c r="A259" s="4">
        <v>45958.0</v>
      </c>
      <c r="B259" s="5" t="s">
        <v>539</v>
      </c>
      <c r="C259" s="6">
        <v>5.42974648237E11</v>
      </c>
      <c r="D259" s="5" t="s">
        <v>540</v>
      </c>
      <c r="E259" s="5" t="s">
        <v>16</v>
      </c>
      <c r="F259" s="5" t="s">
        <v>21</v>
      </c>
      <c r="G259" s="5" t="s">
        <v>18</v>
      </c>
    </row>
    <row r="260">
      <c r="A260" s="4">
        <v>45958.0</v>
      </c>
      <c r="B260" s="5" t="s">
        <v>541</v>
      </c>
      <c r="C260" s="6">
        <v>5.42604599987E11</v>
      </c>
      <c r="D260" s="5" t="s">
        <v>542</v>
      </c>
      <c r="E260" s="5" t="s">
        <v>16</v>
      </c>
      <c r="F260" s="5" t="s">
        <v>32</v>
      </c>
      <c r="G260" s="5" t="s">
        <v>18</v>
      </c>
    </row>
    <row r="261">
      <c r="A261" s="4">
        <v>45958.0</v>
      </c>
      <c r="B261" s="5" t="s">
        <v>543</v>
      </c>
      <c r="C261" s="6">
        <v>5.43425344947E11</v>
      </c>
      <c r="D261" s="5" t="s">
        <v>544</v>
      </c>
      <c r="E261" s="5" t="s">
        <v>39</v>
      </c>
      <c r="F261" s="5" t="s">
        <v>314</v>
      </c>
      <c r="G261" s="5" t="s">
        <v>25</v>
      </c>
    </row>
    <row r="262">
      <c r="A262" s="4">
        <v>45958.0</v>
      </c>
      <c r="B262" s="5" t="s">
        <v>545</v>
      </c>
      <c r="C262" s="6">
        <v>5.43815717689E11</v>
      </c>
      <c r="D262" s="5" t="s">
        <v>546</v>
      </c>
      <c r="E262" s="5" t="s">
        <v>39</v>
      </c>
      <c r="F262" s="5" t="s">
        <v>21</v>
      </c>
      <c r="G262" s="5" t="s">
        <v>18</v>
      </c>
    </row>
    <row r="263">
      <c r="A263" s="4">
        <v>45958.0</v>
      </c>
      <c r="B263" s="5" t="s">
        <v>547</v>
      </c>
      <c r="C263" s="6">
        <v>5.42923437509E11</v>
      </c>
      <c r="D263" s="5" t="s">
        <v>548</v>
      </c>
      <c r="E263" s="5" t="s">
        <v>39</v>
      </c>
      <c r="F263" s="5" t="s">
        <v>21</v>
      </c>
      <c r="G263" s="5" t="s">
        <v>18</v>
      </c>
    </row>
    <row r="264">
      <c r="A264" s="4">
        <v>45959.0</v>
      </c>
      <c r="B264" s="5" t="s">
        <v>549</v>
      </c>
      <c r="C264" s="6">
        <v>5.42974609683E11</v>
      </c>
      <c r="D264" s="5" t="s">
        <v>550</v>
      </c>
      <c r="E264" s="5" t="s">
        <v>24</v>
      </c>
      <c r="F264" s="5" t="s">
        <v>21</v>
      </c>
      <c r="G264" s="5" t="s">
        <v>18</v>
      </c>
    </row>
    <row r="265">
      <c r="A265" s="4">
        <v>45959.0</v>
      </c>
      <c r="B265" s="5" t="s">
        <v>551</v>
      </c>
      <c r="C265" s="6">
        <v>5.43755446176E11</v>
      </c>
      <c r="D265" s="5" t="s">
        <v>552</v>
      </c>
      <c r="E265" s="5" t="s">
        <v>16</v>
      </c>
      <c r="F265" s="5" t="s">
        <v>21</v>
      </c>
      <c r="G265" s="5" t="s">
        <v>18</v>
      </c>
    </row>
    <row r="266">
      <c r="A266" s="4">
        <v>45959.0</v>
      </c>
      <c r="B266" s="5" t="s">
        <v>553</v>
      </c>
      <c r="C266" s="6">
        <v>5.43751566455E11</v>
      </c>
      <c r="D266" s="5" t="s">
        <v>554</v>
      </c>
      <c r="E266" s="5" t="s">
        <v>39</v>
      </c>
      <c r="F266" s="5" t="s">
        <v>21</v>
      </c>
      <c r="G266" s="5" t="s">
        <v>18</v>
      </c>
    </row>
    <row r="267">
      <c r="A267" s="4">
        <v>45959.0</v>
      </c>
      <c r="B267" s="5" t="s">
        <v>555</v>
      </c>
      <c r="C267" s="6">
        <v>5.493813996339E12</v>
      </c>
      <c r="D267" s="5" t="s">
        <v>556</v>
      </c>
      <c r="E267" s="5" t="s">
        <v>24</v>
      </c>
      <c r="F267" s="5" t="s">
        <v>21</v>
      </c>
      <c r="G267" s="5" t="s">
        <v>18</v>
      </c>
    </row>
    <row r="268">
      <c r="A268" s="4">
        <v>45959.0</v>
      </c>
      <c r="B268" s="5" t="s">
        <v>557</v>
      </c>
      <c r="C268" s="6">
        <v>5.42615400404E11</v>
      </c>
      <c r="D268" s="5" t="s">
        <v>558</v>
      </c>
      <c r="E268" s="5" t="s">
        <v>24</v>
      </c>
      <c r="F268" s="5" t="s">
        <v>21</v>
      </c>
      <c r="G268" s="5" t="s">
        <v>25</v>
      </c>
    </row>
    <row r="269">
      <c r="A269" s="4">
        <v>45959.0</v>
      </c>
      <c r="B269" s="5" t="s">
        <v>559</v>
      </c>
      <c r="C269" s="6">
        <v>5.493472526254E12</v>
      </c>
      <c r="D269" s="5" t="s">
        <v>560</v>
      </c>
      <c r="E269" s="5" t="s">
        <v>16</v>
      </c>
      <c r="F269" s="5" t="s">
        <v>21</v>
      </c>
      <c r="G269" s="5" t="s">
        <v>18</v>
      </c>
    </row>
    <row r="270">
      <c r="A270" s="4">
        <v>45959.0</v>
      </c>
      <c r="B270" s="5" t="s">
        <v>561</v>
      </c>
      <c r="C270" s="6">
        <v>5.493794350867E12</v>
      </c>
      <c r="D270" s="5" t="s">
        <v>562</v>
      </c>
      <c r="E270" s="5" t="s">
        <v>39</v>
      </c>
      <c r="F270" s="5" t="s">
        <v>21</v>
      </c>
      <c r="G270" s="5" t="s">
        <v>25</v>
      </c>
    </row>
    <row r="271">
      <c r="A271" s="4">
        <v>45959.0</v>
      </c>
      <c r="B271" s="5" t="s">
        <v>563</v>
      </c>
      <c r="C271" s="6">
        <v>5.41164458587E11</v>
      </c>
      <c r="D271" s="5" t="s">
        <v>564</v>
      </c>
      <c r="E271" s="5" t="s">
        <v>39</v>
      </c>
      <c r="F271" s="5" t="s">
        <v>21</v>
      </c>
      <c r="G271" s="5" t="s">
        <v>18</v>
      </c>
    </row>
    <row r="272">
      <c r="A272" s="4">
        <v>45959.0</v>
      </c>
      <c r="B272" s="5" t="s">
        <v>565</v>
      </c>
      <c r="C272" s="6">
        <v>5.41156539191E11</v>
      </c>
      <c r="D272" s="5" t="s">
        <v>566</v>
      </c>
      <c r="E272" s="5" t="s">
        <v>16</v>
      </c>
      <c r="F272" s="5" t="s">
        <v>21</v>
      </c>
      <c r="G272" s="5" t="s">
        <v>18</v>
      </c>
    </row>
    <row r="273">
      <c r="A273" s="4">
        <v>45959.0</v>
      </c>
      <c r="B273" s="5" t="s">
        <v>567</v>
      </c>
      <c r="C273" s="6">
        <v>5.492616792798E12</v>
      </c>
      <c r="D273" s="5" t="s">
        <v>568</v>
      </c>
      <c r="E273" s="5" t="s">
        <v>39</v>
      </c>
      <c r="F273" s="5" t="s">
        <v>21</v>
      </c>
      <c r="G273" s="5" t="s">
        <v>18</v>
      </c>
    </row>
    <row r="274">
      <c r="A274" s="4">
        <v>45959.0</v>
      </c>
      <c r="B274" s="5" t="s">
        <v>569</v>
      </c>
      <c r="C274" s="6">
        <v>5.42665021975E11</v>
      </c>
      <c r="D274" s="5" t="s">
        <v>570</v>
      </c>
      <c r="E274" s="5" t="s">
        <v>39</v>
      </c>
      <c r="F274" s="5" t="s">
        <v>314</v>
      </c>
      <c r="G274" s="5" t="s">
        <v>25</v>
      </c>
    </row>
    <row r="275">
      <c r="A275" s="4">
        <v>45959.0</v>
      </c>
      <c r="B275" s="5" t="s">
        <v>571</v>
      </c>
      <c r="C275" s="6">
        <v>5.41137693557E11</v>
      </c>
      <c r="D275" s="5" t="s">
        <v>572</v>
      </c>
      <c r="E275" s="5" t="s">
        <v>24</v>
      </c>
      <c r="F275" s="5" t="s">
        <v>21</v>
      </c>
      <c r="G275" s="5" t="s">
        <v>18</v>
      </c>
    </row>
    <row r="276">
      <c r="A276" s="4">
        <v>45960.0</v>
      </c>
      <c r="B276" s="5" t="s">
        <v>573</v>
      </c>
      <c r="C276" s="6">
        <v>5.4379669822E10</v>
      </c>
      <c r="D276" s="5" t="s">
        <v>574</v>
      </c>
      <c r="E276" s="5" t="s">
        <v>24</v>
      </c>
      <c r="F276" s="5" t="s">
        <v>21</v>
      </c>
      <c r="G276" s="5" t="s">
        <v>18</v>
      </c>
    </row>
    <row r="277">
      <c r="A277" s="4">
        <v>45960.0</v>
      </c>
      <c r="B277" s="9" t="s">
        <v>575</v>
      </c>
      <c r="C277" s="10">
        <f>+542996249562</f>
        <v>542996249562</v>
      </c>
      <c r="D277" s="9" t="s">
        <v>576</v>
      </c>
      <c r="E277" s="9" t="s">
        <v>577</v>
      </c>
      <c r="F277" s="5" t="s">
        <v>21</v>
      </c>
      <c r="G277" s="5" t="s">
        <v>18</v>
      </c>
      <c r="H277" s="5"/>
      <c r="I277" s="5"/>
      <c r="K277" s="5" t="s">
        <v>578</v>
      </c>
      <c r="L277" s="7" t="s">
        <v>579</v>
      </c>
      <c r="M277" s="9" t="s">
        <v>580</v>
      </c>
      <c r="N277" s="9" t="s">
        <v>581</v>
      </c>
    </row>
    <row r="278">
      <c r="A278" s="4">
        <v>45960.0</v>
      </c>
      <c r="B278" s="9" t="s">
        <v>582</v>
      </c>
      <c r="C278" s="10">
        <f>+541121901965</f>
        <v>541121901965</v>
      </c>
      <c r="D278" s="9" t="s">
        <v>583</v>
      </c>
      <c r="E278" s="9" t="s">
        <v>577</v>
      </c>
      <c r="F278" s="5" t="s">
        <v>21</v>
      </c>
      <c r="G278" s="5" t="s">
        <v>18</v>
      </c>
      <c r="H278" s="5"/>
      <c r="I278" s="5"/>
      <c r="K278" s="5" t="s">
        <v>578</v>
      </c>
      <c r="L278" s="7" t="s">
        <v>584</v>
      </c>
      <c r="M278" s="9" t="s">
        <v>580</v>
      </c>
      <c r="N278" s="9" t="s">
        <v>585</v>
      </c>
    </row>
    <row r="279">
      <c r="A279" s="4">
        <v>45960.0</v>
      </c>
      <c r="B279" s="9" t="s">
        <v>586</v>
      </c>
      <c r="C279" s="10">
        <f>+542994054431</f>
        <v>542994054431</v>
      </c>
      <c r="D279" s="9" t="s">
        <v>587</v>
      </c>
      <c r="E279" s="5" t="s">
        <v>24</v>
      </c>
      <c r="F279" s="5" t="s">
        <v>21</v>
      </c>
      <c r="G279" s="5" t="s">
        <v>25</v>
      </c>
      <c r="H279" s="5"/>
      <c r="I279" s="5"/>
      <c r="K279" s="5" t="s">
        <v>578</v>
      </c>
      <c r="L279" s="7" t="s">
        <v>579</v>
      </c>
      <c r="M279" s="9" t="s">
        <v>580</v>
      </c>
      <c r="N279" s="9" t="s">
        <v>585</v>
      </c>
    </row>
    <row r="280">
      <c r="A280" s="4">
        <v>45960.0</v>
      </c>
      <c r="B280" s="9" t="s">
        <v>588</v>
      </c>
      <c r="C280" s="10">
        <f>+543813043583</f>
        <v>543813043583</v>
      </c>
      <c r="D280" s="9" t="s">
        <v>589</v>
      </c>
      <c r="E280" s="9" t="s">
        <v>577</v>
      </c>
      <c r="F280" s="5" t="s">
        <v>21</v>
      </c>
      <c r="G280" s="5" t="s">
        <v>18</v>
      </c>
      <c r="H280" s="5"/>
      <c r="I280" s="5"/>
      <c r="K280" s="5" t="s">
        <v>578</v>
      </c>
      <c r="L280" s="7" t="s">
        <v>579</v>
      </c>
      <c r="M280" s="9" t="s">
        <v>580</v>
      </c>
      <c r="N280" s="9" t="s">
        <v>585</v>
      </c>
    </row>
    <row r="281">
      <c r="A281" s="4">
        <v>45960.0</v>
      </c>
      <c r="B281" s="9" t="s">
        <v>590</v>
      </c>
      <c r="C281" s="10">
        <f>+543537335967</f>
        <v>543537335967</v>
      </c>
      <c r="D281" s="9" t="s">
        <v>591</v>
      </c>
      <c r="E281" s="9" t="s">
        <v>577</v>
      </c>
      <c r="F281" s="5" t="s">
        <v>21</v>
      </c>
      <c r="G281" s="5" t="s">
        <v>18</v>
      </c>
      <c r="H281" s="5"/>
      <c r="I281" s="5"/>
      <c r="K281" s="5" t="s">
        <v>578</v>
      </c>
      <c r="L281" s="7" t="s">
        <v>579</v>
      </c>
      <c r="M281" s="9" t="s">
        <v>580</v>
      </c>
      <c r="N281" s="9" t="s">
        <v>585</v>
      </c>
    </row>
    <row r="282">
      <c r="A282" s="4">
        <v>45960.0</v>
      </c>
      <c r="B282" s="9" t="s">
        <v>592</v>
      </c>
      <c r="C282" s="10">
        <f>+543644573957</f>
        <v>543644573957</v>
      </c>
      <c r="D282" s="9" t="s">
        <v>593</v>
      </c>
      <c r="E282" s="5" t="s">
        <v>24</v>
      </c>
      <c r="F282" s="5" t="s">
        <v>21</v>
      </c>
      <c r="G282" s="5" t="s">
        <v>18</v>
      </c>
      <c r="H282" s="5"/>
      <c r="I282" s="5"/>
      <c r="K282" s="5" t="s">
        <v>578</v>
      </c>
      <c r="L282" s="7" t="s">
        <v>579</v>
      </c>
      <c r="M282" s="9" t="s">
        <v>580</v>
      </c>
      <c r="N282" s="9" t="s">
        <v>581</v>
      </c>
    </row>
    <row r="283">
      <c r="A283" s="4">
        <v>45960.0</v>
      </c>
      <c r="B283" s="9" t="s">
        <v>594</v>
      </c>
      <c r="C283" s="10">
        <f>+542995741157</f>
        <v>542995741157</v>
      </c>
      <c r="D283" s="9" t="s">
        <v>595</v>
      </c>
      <c r="E283" s="9" t="s">
        <v>577</v>
      </c>
      <c r="F283" s="5" t="s">
        <v>21</v>
      </c>
      <c r="G283" s="9" t="s">
        <v>596</v>
      </c>
      <c r="H283" s="5"/>
      <c r="I283" s="5"/>
      <c r="K283" s="5" t="s">
        <v>578</v>
      </c>
      <c r="L283" s="7" t="s">
        <v>579</v>
      </c>
      <c r="M283" s="9" t="s">
        <v>580</v>
      </c>
      <c r="N283" s="9" t="s">
        <v>585</v>
      </c>
    </row>
    <row r="284">
      <c r="A284" s="4">
        <v>45960.0</v>
      </c>
      <c r="B284" s="9" t="s">
        <v>597</v>
      </c>
      <c r="C284" s="10">
        <f>+543564610141</f>
        <v>543564610141</v>
      </c>
      <c r="D284" s="9" t="s">
        <v>598</v>
      </c>
      <c r="E284" s="5" t="s">
        <v>16</v>
      </c>
      <c r="F284" s="5" t="s">
        <v>21</v>
      </c>
      <c r="G284" s="5" t="s">
        <v>18</v>
      </c>
      <c r="H284" s="5"/>
      <c r="I284" s="5"/>
      <c r="K284" s="5" t="s">
        <v>578</v>
      </c>
      <c r="L284" s="7" t="s">
        <v>579</v>
      </c>
      <c r="M284" s="9" t="s">
        <v>580</v>
      </c>
      <c r="N284" s="9" t="s">
        <v>581</v>
      </c>
    </row>
    <row r="285">
      <c r="A285" s="4">
        <v>45960.0</v>
      </c>
      <c r="B285" s="9" t="s">
        <v>599</v>
      </c>
      <c r="C285" s="11">
        <v>3.513418066E9</v>
      </c>
      <c r="D285" s="9" t="s">
        <v>600</v>
      </c>
      <c r="E285" s="9" t="s">
        <v>577</v>
      </c>
      <c r="F285" s="5" t="s">
        <v>21</v>
      </c>
      <c r="G285" s="5" t="s">
        <v>18</v>
      </c>
      <c r="H285" s="5"/>
      <c r="I285" s="5"/>
      <c r="K285" s="5" t="s">
        <v>578</v>
      </c>
      <c r="L285" s="7" t="s">
        <v>579</v>
      </c>
      <c r="M285" s="9" t="s">
        <v>580</v>
      </c>
      <c r="N285" s="9" t="s">
        <v>581</v>
      </c>
    </row>
    <row r="286">
      <c r="A286" s="4">
        <v>45960.0</v>
      </c>
      <c r="B286" s="9" t="s">
        <v>601</v>
      </c>
      <c r="C286" s="10">
        <f>+543855822122</f>
        <v>543855822122</v>
      </c>
      <c r="D286" s="9" t="s">
        <v>602</v>
      </c>
      <c r="E286" s="9" t="s">
        <v>577</v>
      </c>
      <c r="F286" s="5" t="s">
        <v>21</v>
      </c>
      <c r="G286" s="5" t="s">
        <v>18</v>
      </c>
      <c r="H286" s="5"/>
      <c r="I286" s="5"/>
      <c r="K286" s="5" t="s">
        <v>578</v>
      </c>
      <c r="L286" s="7" t="s">
        <v>579</v>
      </c>
      <c r="M286" s="9" t="s">
        <v>580</v>
      </c>
      <c r="N286" s="9" t="s">
        <v>585</v>
      </c>
    </row>
    <row r="287">
      <c r="A287" s="4">
        <v>45960.0</v>
      </c>
      <c r="B287" s="9" t="s">
        <v>603</v>
      </c>
      <c r="C287" s="10">
        <f>+54379669822</f>
        <v>54379669822</v>
      </c>
      <c r="D287" s="9" t="s">
        <v>604</v>
      </c>
      <c r="E287" s="5" t="s">
        <v>24</v>
      </c>
      <c r="F287" s="5" t="s">
        <v>21</v>
      </c>
      <c r="G287" s="5" t="s">
        <v>18</v>
      </c>
      <c r="H287" s="5"/>
      <c r="I287" s="5"/>
      <c r="K287" s="5" t="s">
        <v>578</v>
      </c>
      <c r="L287" s="7" t="s">
        <v>579</v>
      </c>
      <c r="M287" s="9" t="s">
        <v>580</v>
      </c>
      <c r="N287" s="9" t="s">
        <v>585</v>
      </c>
    </row>
    <row r="288">
      <c r="A288" s="4">
        <v>45960.0</v>
      </c>
      <c r="B288" s="9" t="s">
        <v>605</v>
      </c>
      <c r="C288" s="10">
        <f>+541137693557</f>
        <v>541137693557</v>
      </c>
      <c r="D288" s="9" t="s">
        <v>606</v>
      </c>
      <c r="E288" s="5" t="s">
        <v>24</v>
      </c>
      <c r="F288" s="5" t="s">
        <v>21</v>
      </c>
      <c r="G288" s="5" t="s">
        <v>18</v>
      </c>
      <c r="H288" s="5"/>
      <c r="I288" s="5"/>
      <c r="K288" s="5" t="s">
        <v>578</v>
      </c>
      <c r="L288" s="9" t="s">
        <v>584</v>
      </c>
      <c r="M288" s="9" t="s">
        <v>580</v>
      </c>
      <c r="N288" s="9" t="s">
        <v>585</v>
      </c>
    </row>
    <row r="289">
      <c r="A289" s="4">
        <v>45960.0</v>
      </c>
      <c r="B289" s="12" t="s">
        <v>607</v>
      </c>
      <c r="C289" s="13">
        <f>+542665021975</f>
        <v>542665021975</v>
      </c>
      <c r="D289" s="12" t="s">
        <v>608</v>
      </c>
      <c r="E289" s="12" t="s">
        <v>577</v>
      </c>
      <c r="F289" s="12" t="s">
        <v>609</v>
      </c>
      <c r="G289" s="5" t="s">
        <v>25</v>
      </c>
      <c r="H289" s="14"/>
      <c r="I289" s="14"/>
      <c r="J289" s="15"/>
      <c r="K289" s="14" t="s">
        <v>578</v>
      </c>
      <c r="L289" s="12" t="s">
        <v>579</v>
      </c>
      <c r="M289" s="12" t="s">
        <v>610</v>
      </c>
      <c r="N289" s="12" t="s">
        <v>581</v>
      </c>
    </row>
    <row r="290">
      <c r="A290" s="4">
        <v>45960.0</v>
      </c>
      <c r="B290" s="12" t="s">
        <v>611</v>
      </c>
      <c r="C290" s="13">
        <f>+5492616792798</f>
        <v>5492616792798</v>
      </c>
      <c r="D290" s="12" t="s">
        <v>612</v>
      </c>
      <c r="E290" s="12" t="s">
        <v>577</v>
      </c>
      <c r="F290" s="5" t="s">
        <v>21</v>
      </c>
      <c r="G290" s="5" t="s">
        <v>18</v>
      </c>
      <c r="H290" s="14"/>
      <c r="I290" s="14"/>
      <c r="J290" s="15"/>
      <c r="K290" s="14" t="s">
        <v>578</v>
      </c>
      <c r="L290" s="12" t="s">
        <v>584</v>
      </c>
      <c r="M290" s="12" t="s">
        <v>580</v>
      </c>
      <c r="N290" s="12" t="s">
        <v>585</v>
      </c>
    </row>
    <row r="291">
      <c r="A291" s="4">
        <v>45961.0</v>
      </c>
      <c r="B291" s="12" t="s">
        <v>613</v>
      </c>
      <c r="C291" s="16">
        <f>+541125208721</f>
        <v>541125208721</v>
      </c>
      <c r="D291" s="12" t="s">
        <v>614</v>
      </c>
      <c r="E291" s="5" t="s">
        <v>16</v>
      </c>
      <c r="F291" s="5" t="s">
        <v>21</v>
      </c>
      <c r="G291" s="5" t="s">
        <v>18</v>
      </c>
      <c r="H291" s="14"/>
      <c r="I291" s="14"/>
      <c r="J291" s="15"/>
      <c r="K291" s="14" t="s">
        <v>578</v>
      </c>
      <c r="L291" s="7" t="s">
        <v>584</v>
      </c>
      <c r="M291" s="12" t="s">
        <v>580</v>
      </c>
      <c r="N291" s="12" t="s">
        <v>585</v>
      </c>
    </row>
    <row r="292">
      <c r="A292" s="4">
        <v>45961.0</v>
      </c>
      <c r="B292" s="12" t="s">
        <v>615</v>
      </c>
      <c r="C292" s="16">
        <f>+543517013830</f>
        <v>543517013830</v>
      </c>
      <c r="D292" s="12" t="s">
        <v>616</v>
      </c>
      <c r="E292" s="5" t="s">
        <v>24</v>
      </c>
      <c r="F292" s="5" t="s">
        <v>21</v>
      </c>
      <c r="G292" s="5" t="s">
        <v>25</v>
      </c>
      <c r="H292" s="14"/>
      <c r="I292" s="14"/>
      <c r="J292" s="15"/>
      <c r="K292" s="14" t="s">
        <v>578</v>
      </c>
      <c r="L292" s="7" t="s">
        <v>579</v>
      </c>
      <c r="M292" s="12" t="s">
        <v>580</v>
      </c>
      <c r="N292" s="12" t="s">
        <v>581</v>
      </c>
    </row>
    <row r="293">
      <c r="A293" s="4">
        <v>45961.0</v>
      </c>
      <c r="B293" s="12" t="s">
        <v>617</v>
      </c>
      <c r="C293" s="16">
        <f>+543872102481</f>
        <v>543872102481</v>
      </c>
      <c r="D293" s="12" t="s">
        <v>618</v>
      </c>
      <c r="E293" s="12" t="s">
        <v>577</v>
      </c>
      <c r="F293" s="5" t="s">
        <v>21</v>
      </c>
      <c r="G293" s="5" t="s">
        <v>18</v>
      </c>
      <c r="H293" s="14"/>
      <c r="I293" s="14"/>
      <c r="J293" s="15"/>
      <c r="K293" s="14" t="s">
        <v>578</v>
      </c>
      <c r="L293" s="7" t="s">
        <v>579</v>
      </c>
      <c r="M293" s="12" t="s">
        <v>580</v>
      </c>
      <c r="N293" s="12" t="s">
        <v>581</v>
      </c>
    </row>
    <row r="294">
      <c r="A294" s="4">
        <v>45961.0</v>
      </c>
      <c r="B294" s="12" t="s">
        <v>619</v>
      </c>
      <c r="C294" s="16">
        <f>+5493874416941</f>
        <v>5493874416941</v>
      </c>
      <c r="D294" s="12" t="s">
        <v>620</v>
      </c>
      <c r="E294" s="12" t="s">
        <v>577</v>
      </c>
      <c r="F294" s="5" t="s">
        <v>21</v>
      </c>
      <c r="G294" s="5" t="s">
        <v>25</v>
      </c>
      <c r="H294" s="14"/>
      <c r="I294" s="14"/>
      <c r="J294" s="15"/>
      <c r="K294" s="14" t="s">
        <v>578</v>
      </c>
      <c r="L294" s="7" t="s">
        <v>579</v>
      </c>
      <c r="M294" s="12" t="s">
        <v>580</v>
      </c>
      <c r="N294" s="12" t="s">
        <v>581</v>
      </c>
    </row>
    <row r="295">
      <c r="A295" s="4">
        <v>45961.0</v>
      </c>
      <c r="B295" s="12" t="s">
        <v>621</v>
      </c>
      <c r="C295" s="16">
        <f>+541166032542</f>
        <v>541166032542</v>
      </c>
      <c r="D295" s="12" t="s">
        <v>622</v>
      </c>
      <c r="E295" s="5" t="s">
        <v>24</v>
      </c>
      <c r="F295" s="12" t="s">
        <v>623</v>
      </c>
      <c r="G295" s="5" t="s">
        <v>25</v>
      </c>
      <c r="H295" s="14"/>
      <c r="I295" s="14"/>
      <c r="J295" s="15"/>
      <c r="K295" s="14" t="s">
        <v>578</v>
      </c>
      <c r="L295" s="7" t="s">
        <v>584</v>
      </c>
      <c r="M295" s="12" t="s">
        <v>624</v>
      </c>
      <c r="N295" s="12" t="s">
        <v>585</v>
      </c>
    </row>
    <row r="296">
      <c r="A296" s="4">
        <v>45961.0</v>
      </c>
      <c r="B296" s="12" t="s">
        <v>625</v>
      </c>
      <c r="C296" s="16">
        <f>+543513986962</f>
        <v>543513986962</v>
      </c>
      <c r="D296" s="12" t="s">
        <v>626</v>
      </c>
      <c r="E296" s="12" t="s">
        <v>577</v>
      </c>
      <c r="F296" s="5" t="s">
        <v>21</v>
      </c>
      <c r="G296" s="5" t="s">
        <v>25</v>
      </c>
      <c r="H296" s="14"/>
      <c r="I296" s="14"/>
      <c r="J296" s="15"/>
      <c r="K296" s="14" t="s">
        <v>578</v>
      </c>
      <c r="L296" s="7" t="s">
        <v>579</v>
      </c>
      <c r="M296" s="12" t="s">
        <v>580</v>
      </c>
      <c r="N296" s="12" t="s">
        <v>581</v>
      </c>
    </row>
    <row r="297">
      <c r="A297" s="4">
        <v>45961.0</v>
      </c>
      <c r="B297" s="12" t="s">
        <v>627</v>
      </c>
      <c r="C297" s="16">
        <f>+543447648257</f>
        <v>543447648257</v>
      </c>
      <c r="D297" s="12" t="s">
        <v>628</v>
      </c>
      <c r="E297" s="5" t="s">
        <v>24</v>
      </c>
      <c r="F297" s="5" t="s">
        <v>21</v>
      </c>
      <c r="G297" s="5" t="s">
        <v>25</v>
      </c>
      <c r="H297" s="14"/>
      <c r="I297" s="14"/>
      <c r="J297" s="15"/>
      <c r="K297" s="14" t="s">
        <v>578</v>
      </c>
      <c r="L297" s="7" t="s">
        <v>579</v>
      </c>
      <c r="M297" s="12" t="s">
        <v>580</v>
      </c>
      <c r="N297" s="12" t="s">
        <v>585</v>
      </c>
    </row>
    <row r="298">
      <c r="A298" s="4">
        <v>45961.0</v>
      </c>
      <c r="B298" s="12" t="s">
        <v>629</v>
      </c>
      <c r="C298" s="16">
        <f>+541126997188</f>
        <v>541126997188</v>
      </c>
      <c r="D298" s="12" t="s">
        <v>630</v>
      </c>
      <c r="E298" s="5" t="s">
        <v>24</v>
      </c>
      <c r="F298" s="5" t="s">
        <v>21</v>
      </c>
      <c r="G298" s="5" t="s">
        <v>25</v>
      </c>
      <c r="H298" s="14"/>
      <c r="I298" s="14"/>
      <c r="J298" s="15"/>
      <c r="K298" s="14" t="s">
        <v>578</v>
      </c>
      <c r="L298" s="7" t="s">
        <v>584</v>
      </c>
      <c r="M298" s="12" t="s">
        <v>580</v>
      </c>
      <c r="N298" s="12" t="s">
        <v>581</v>
      </c>
    </row>
    <row r="299">
      <c r="A299" s="4">
        <v>45961.0</v>
      </c>
      <c r="B299" s="12" t="s">
        <v>631</v>
      </c>
      <c r="C299" s="16">
        <f>+541134876728</f>
        <v>541134876728</v>
      </c>
      <c r="D299" s="12" t="s">
        <v>632</v>
      </c>
      <c r="E299" s="12" t="s">
        <v>577</v>
      </c>
      <c r="F299" s="5" t="s">
        <v>21</v>
      </c>
      <c r="G299" s="5" t="s">
        <v>18</v>
      </c>
      <c r="H299" s="14"/>
      <c r="I299" s="14"/>
      <c r="J299" s="15"/>
      <c r="K299" s="14" t="s">
        <v>578</v>
      </c>
      <c r="L299" s="7" t="s">
        <v>584</v>
      </c>
      <c r="M299" s="12" t="s">
        <v>580</v>
      </c>
      <c r="N299" s="12" t="s">
        <v>585</v>
      </c>
    </row>
    <row r="300">
      <c r="A300" s="4">
        <v>45962.0</v>
      </c>
      <c r="B300" s="12" t="s">
        <v>633</v>
      </c>
      <c r="C300" s="13">
        <f>+543855234690</f>
        <v>543855234690</v>
      </c>
      <c r="D300" s="12" t="s">
        <v>634</v>
      </c>
      <c r="E300" s="5" t="s">
        <v>16</v>
      </c>
      <c r="F300" s="5" t="s">
        <v>21</v>
      </c>
      <c r="G300" s="12" t="s">
        <v>596</v>
      </c>
      <c r="H300" s="14"/>
      <c r="I300" s="14"/>
      <c r="J300" s="15"/>
      <c r="K300" s="14" t="s">
        <v>578</v>
      </c>
      <c r="L300" s="7" t="s">
        <v>579</v>
      </c>
      <c r="M300" s="12" t="s">
        <v>580</v>
      </c>
      <c r="N300" s="12" t="s">
        <v>581</v>
      </c>
    </row>
    <row r="301">
      <c r="A301" s="4">
        <v>45962.0</v>
      </c>
      <c r="B301" s="12" t="s">
        <v>635</v>
      </c>
      <c r="C301" s="13">
        <f>+541150255728</f>
        <v>541150255728</v>
      </c>
      <c r="D301" s="12" t="s">
        <v>636</v>
      </c>
      <c r="E301" s="5" t="s">
        <v>24</v>
      </c>
      <c r="F301" s="12" t="s">
        <v>623</v>
      </c>
      <c r="G301" s="5" t="s">
        <v>25</v>
      </c>
      <c r="H301" s="14"/>
      <c r="I301" s="14"/>
      <c r="J301" s="15"/>
      <c r="K301" s="14" t="s">
        <v>578</v>
      </c>
      <c r="L301" s="7" t="s">
        <v>584</v>
      </c>
      <c r="M301" s="12" t="s">
        <v>580</v>
      </c>
      <c r="N301" s="12" t="s">
        <v>585</v>
      </c>
    </row>
    <row r="302">
      <c r="A302" s="4">
        <v>45962.0</v>
      </c>
      <c r="B302" s="12" t="s">
        <v>637</v>
      </c>
      <c r="C302" s="13">
        <f>+542302538273</f>
        <v>542302538273</v>
      </c>
      <c r="D302" s="12" t="s">
        <v>638</v>
      </c>
      <c r="E302" s="5" t="s">
        <v>16</v>
      </c>
      <c r="F302" s="5" t="s">
        <v>21</v>
      </c>
      <c r="G302" s="5" t="s">
        <v>25</v>
      </c>
      <c r="H302" s="14"/>
      <c r="I302" s="14"/>
      <c r="J302" s="15"/>
      <c r="K302" s="14" t="s">
        <v>578</v>
      </c>
      <c r="L302" s="7" t="s">
        <v>579</v>
      </c>
      <c r="M302" s="12" t="s">
        <v>580</v>
      </c>
      <c r="N302" s="12" t="s">
        <v>585</v>
      </c>
    </row>
    <row r="303">
      <c r="A303" s="4">
        <v>45962.0</v>
      </c>
      <c r="B303" s="12" t="s">
        <v>639</v>
      </c>
      <c r="C303" s="13">
        <f>+5493704591739</f>
        <v>5493704591739</v>
      </c>
      <c r="D303" s="12" t="s">
        <v>640</v>
      </c>
      <c r="E303" s="5" t="s">
        <v>24</v>
      </c>
      <c r="F303" s="5" t="s">
        <v>21</v>
      </c>
      <c r="G303" s="5" t="s">
        <v>18</v>
      </c>
      <c r="H303" s="14"/>
      <c r="I303" s="14"/>
      <c r="J303" s="15"/>
      <c r="K303" s="14" t="s">
        <v>578</v>
      </c>
      <c r="L303" s="7" t="s">
        <v>579</v>
      </c>
      <c r="M303" s="12" t="s">
        <v>580</v>
      </c>
      <c r="N303" s="12" t="s">
        <v>585</v>
      </c>
    </row>
    <row r="304">
      <c r="A304" s="4">
        <v>45962.0</v>
      </c>
      <c r="B304" s="12" t="s">
        <v>641</v>
      </c>
      <c r="C304" s="13">
        <f>+542920585852</f>
        <v>542920585852</v>
      </c>
      <c r="D304" s="12" t="s">
        <v>642</v>
      </c>
      <c r="E304" s="5" t="s">
        <v>24</v>
      </c>
      <c r="F304" s="5" t="s">
        <v>21</v>
      </c>
      <c r="G304" s="5" t="s">
        <v>18</v>
      </c>
      <c r="H304" s="14"/>
      <c r="I304" s="14"/>
      <c r="J304" s="15"/>
      <c r="K304" s="14" t="s">
        <v>578</v>
      </c>
      <c r="L304" s="7" t="s">
        <v>579</v>
      </c>
      <c r="M304" s="12" t="s">
        <v>580</v>
      </c>
      <c r="N304" s="12" t="s">
        <v>581</v>
      </c>
    </row>
    <row r="305">
      <c r="A305" s="4">
        <v>45962.0</v>
      </c>
      <c r="B305" s="12" t="s">
        <v>643</v>
      </c>
      <c r="C305" s="13">
        <f>+543454054576</f>
        <v>543454054576</v>
      </c>
      <c r="D305" s="12" t="s">
        <v>644</v>
      </c>
      <c r="E305" s="12" t="s">
        <v>577</v>
      </c>
      <c r="F305" s="5" t="s">
        <v>21</v>
      </c>
      <c r="G305" s="5" t="s">
        <v>18</v>
      </c>
      <c r="H305" s="14"/>
      <c r="I305" s="14"/>
      <c r="J305" s="15"/>
      <c r="K305" s="14" t="s">
        <v>578</v>
      </c>
      <c r="L305" s="7" t="s">
        <v>579</v>
      </c>
      <c r="M305" s="12" t="s">
        <v>580</v>
      </c>
      <c r="N305" s="12" t="s">
        <v>581</v>
      </c>
    </row>
    <row r="306">
      <c r="A306" s="4">
        <v>45962.0</v>
      </c>
      <c r="B306" s="12" t="s">
        <v>645</v>
      </c>
      <c r="C306" s="13">
        <f>+5491158299439</f>
        <v>5491158299439</v>
      </c>
      <c r="D306" s="12" t="s">
        <v>646</v>
      </c>
      <c r="E306" s="12" t="s">
        <v>577</v>
      </c>
      <c r="F306" s="5" t="s">
        <v>21</v>
      </c>
      <c r="G306" s="5" t="s">
        <v>25</v>
      </c>
      <c r="H306" s="14"/>
      <c r="I306" s="14"/>
      <c r="J306" s="15"/>
      <c r="K306" s="14" t="s">
        <v>578</v>
      </c>
      <c r="L306" s="7" t="s">
        <v>584</v>
      </c>
      <c r="M306" s="12" t="s">
        <v>580</v>
      </c>
      <c r="N306" s="12" t="s">
        <v>585</v>
      </c>
    </row>
    <row r="307">
      <c r="A307" s="4">
        <v>45962.0</v>
      </c>
      <c r="B307" s="12" t="s">
        <v>647</v>
      </c>
      <c r="C307" s="13">
        <f>+543704868080</f>
        <v>543704868080</v>
      </c>
      <c r="D307" s="12" t="s">
        <v>648</v>
      </c>
      <c r="E307" s="5" t="s">
        <v>16</v>
      </c>
      <c r="F307" s="5" t="s">
        <v>21</v>
      </c>
      <c r="G307" s="5" t="s">
        <v>25</v>
      </c>
      <c r="H307" s="14"/>
      <c r="I307" s="14"/>
      <c r="J307" s="15"/>
      <c r="K307" s="14" t="s">
        <v>578</v>
      </c>
      <c r="L307" s="7" t="s">
        <v>579</v>
      </c>
      <c r="M307" s="12" t="s">
        <v>580</v>
      </c>
      <c r="N307" s="12" t="s">
        <v>585</v>
      </c>
    </row>
    <row r="308">
      <c r="A308" s="4">
        <v>45962.0</v>
      </c>
      <c r="B308" s="12" t="s">
        <v>649</v>
      </c>
      <c r="C308" s="13">
        <f>+5493731432130</f>
        <v>5493731432130</v>
      </c>
      <c r="D308" s="12" t="s">
        <v>650</v>
      </c>
      <c r="E308" s="12" t="s">
        <v>577</v>
      </c>
      <c r="F308" s="5" t="s">
        <v>21</v>
      </c>
      <c r="G308" s="5" t="s">
        <v>25</v>
      </c>
      <c r="H308" s="14"/>
      <c r="I308" s="14"/>
      <c r="J308" s="15"/>
      <c r="K308" s="14" t="s">
        <v>578</v>
      </c>
      <c r="L308" s="7" t="s">
        <v>579</v>
      </c>
      <c r="M308" s="12" t="s">
        <v>580</v>
      </c>
      <c r="N308" s="12" t="s">
        <v>581</v>
      </c>
    </row>
    <row r="309">
      <c r="A309" s="4">
        <v>45962.0</v>
      </c>
      <c r="B309" s="12" t="s">
        <v>651</v>
      </c>
      <c r="C309" s="13">
        <f>+543585406877</f>
        <v>543585406877</v>
      </c>
      <c r="D309" s="12" t="s">
        <v>652</v>
      </c>
      <c r="E309" s="5" t="s">
        <v>24</v>
      </c>
      <c r="F309" s="5" t="s">
        <v>21</v>
      </c>
      <c r="G309" s="5" t="s">
        <v>18</v>
      </c>
      <c r="H309" s="14"/>
      <c r="I309" s="14"/>
      <c r="J309" s="15"/>
      <c r="K309" s="14" t="s">
        <v>578</v>
      </c>
      <c r="L309" s="7" t="s">
        <v>579</v>
      </c>
      <c r="M309" s="12" t="s">
        <v>580</v>
      </c>
      <c r="N309" s="12" t="s">
        <v>585</v>
      </c>
    </row>
    <row r="310">
      <c r="A310" s="4">
        <v>45962.0</v>
      </c>
      <c r="B310" s="12" t="s">
        <v>653</v>
      </c>
      <c r="C310" s="13">
        <f>+13518627435</f>
        <v>13518627435</v>
      </c>
      <c r="D310" s="12" t="s">
        <v>654</v>
      </c>
      <c r="E310" s="12" t="s">
        <v>577</v>
      </c>
      <c r="F310" s="5" t="s">
        <v>21</v>
      </c>
      <c r="G310" s="5" t="s">
        <v>25</v>
      </c>
      <c r="H310" s="14"/>
      <c r="I310" s="14"/>
      <c r="J310" s="15"/>
      <c r="K310" s="14" t="s">
        <v>578</v>
      </c>
      <c r="L310" s="7" t="s">
        <v>579</v>
      </c>
      <c r="M310" s="12" t="s">
        <v>580</v>
      </c>
      <c r="N310" s="12" t="s">
        <v>581</v>
      </c>
    </row>
    <row r="311">
      <c r="A311" s="4">
        <v>45962.0</v>
      </c>
      <c r="B311" s="12" t="s">
        <v>655</v>
      </c>
      <c r="C311" s="13">
        <f>+542994054431</f>
        <v>542994054431</v>
      </c>
      <c r="D311" s="12" t="s">
        <v>656</v>
      </c>
      <c r="E311" s="5" t="s">
        <v>24</v>
      </c>
      <c r="F311" s="5" t="s">
        <v>21</v>
      </c>
      <c r="G311" s="12" t="s">
        <v>596</v>
      </c>
      <c r="H311" s="14"/>
      <c r="I311" s="14"/>
      <c r="J311" s="15"/>
      <c r="K311" s="14" t="s">
        <v>578</v>
      </c>
      <c r="L311" s="7" t="s">
        <v>579</v>
      </c>
      <c r="M311" s="12" t="s">
        <v>580</v>
      </c>
      <c r="N311" s="12" t="s">
        <v>581</v>
      </c>
    </row>
    <row r="312">
      <c r="A312" s="4">
        <v>45962.0</v>
      </c>
      <c r="B312" s="12" t="s">
        <v>657</v>
      </c>
      <c r="C312" s="17">
        <v>1.133574161E9</v>
      </c>
      <c r="D312" s="12" t="s">
        <v>658</v>
      </c>
      <c r="E312" s="5" t="s">
        <v>24</v>
      </c>
      <c r="F312" s="5" t="s">
        <v>21</v>
      </c>
      <c r="G312" s="5" t="s">
        <v>18</v>
      </c>
      <c r="H312" s="14"/>
      <c r="I312" s="14"/>
      <c r="J312" s="15"/>
      <c r="K312" s="14" t="s">
        <v>578</v>
      </c>
      <c r="L312" s="7" t="s">
        <v>584</v>
      </c>
      <c r="M312" s="12" t="s">
        <v>580</v>
      </c>
      <c r="N312" s="12" t="s">
        <v>585</v>
      </c>
    </row>
    <row r="313">
      <c r="A313" s="4">
        <v>45962.0</v>
      </c>
      <c r="B313" s="12" t="s">
        <v>659</v>
      </c>
      <c r="C313" s="13">
        <f>+543515906386</f>
        <v>543515906386</v>
      </c>
      <c r="D313" s="12" t="s">
        <v>660</v>
      </c>
      <c r="E313" s="5" t="s">
        <v>24</v>
      </c>
      <c r="F313" s="5" t="s">
        <v>21</v>
      </c>
      <c r="G313" s="5" t="s">
        <v>25</v>
      </c>
      <c r="H313" s="14"/>
      <c r="I313" s="14"/>
      <c r="J313" s="15"/>
      <c r="K313" s="14" t="s">
        <v>578</v>
      </c>
      <c r="L313" s="7" t="s">
        <v>579</v>
      </c>
      <c r="M313" s="12" t="s">
        <v>580</v>
      </c>
      <c r="N313" s="12" t="s">
        <v>581</v>
      </c>
    </row>
    <row r="314">
      <c r="A314" s="4">
        <v>45962.0</v>
      </c>
      <c r="B314" s="12" t="s">
        <v>661</v>
      </c>
      <c r="C314" s="13">
        <f>+542657653365</f>
        <v>542657653365</v>
      </c>
      <c r="D314" s="12" t="s">
        <v>662</v>
      </c>
      <c r="E314" s="5" t="s">
        <v>16</v>
      </c>
      <c r="F314" s="5" t="s">
        <v>21</v>
      </c>
      <c r="G314" s="5" t="s">
        <v>25</v>
      </c>
      <c r="H314" s="14"/>
      <c r="I314" s="14"/>
      <c r="J314" s="15"/>
      <c r="K314" s="14" t="s">
        <v>578</v>
      </c>
      <c r="L314" s="7" t="s">
        <v>579</v>
      </c>
      <c r="M314" s="12" t="s">
        <v>580</v>
      </c>
      <c r="N314" s="12" t="s">
        <v>581</v>
      </c>
    </row>
    <row r="315">
      <c r="A315" s="4">
        <v>45962.0</v>
      </c>
      <c r="B315" s="12" t="s">
        <v>663</v>
      </c>
      <c r="C315" s="13">
        <f>+542984942917</f>
        <v>542984942917</v>
      </c>
      <c r="D315" s="12" t="s">
        <v>664</v>
      </c>
      <c r="E315" s="5" t="s">
        <v>16</v>
      </c>
      <c r="F315" s="5" t="s">
        <v>21</v>
      </c>
      <c r="G315" s="5" t="s">
        <v>18</v>
      </c>
      <c r="H315" s="14"/>
      <c r="I315" s="14"/>
      <c r="J315" s="15"/>
      <c r="K315" s="14" t="s">
        <v>578</v>
      </c>
      <c r="L315" s="7" t="s">
        <v>579</v>
      </c>
      <c r="M315" s="12" t="s">
        <v>580</v>
      </c>
      <c r="N315" s="12" t="s">
        <v>585</v>
      </c>
    </row>
    <row r="316">
      <c r="A316" s="4">
        <v>45962.0</v>
      </c>
      <c r="B316" s="12" t="s">
        <v>665</v>
      </c>
      <c r="C316" s="13">
        <f>+543875507135</f>
        <v>543875507135</v>
      </c>
      <c r="D316" s="12" t="s">
        <v>666</v>
      </c>
      <c r="E316" s="5" t="s">
        <v>24</v>
      </c>
      <c r="F316" s="5" t="s">
        <v>21</v>
      </c>
      <c r="G316" s="5" t="s">
        <v>18</v>
      </c>
      <c r="H316" s="14"/>
      <c r="I316" s="14"/>
      <c r="J316" s="15"/>
      <c r="K316" s="14" t="s">
        <v>578</v>
      </c>
      <c r="L316" s="7" t="s">
        <v>579</v>
      </c>
      <c r="M316" s="12" t="s">
        <v>580</v>
      </c>
      <c r="N316" s="12" t="s">
        <v>581</v>
      </c>
    </row>
    <row r="317">
      <c r="A317" s="4">
        <v>45962.0</v>
      </c>
      <c r="B317" s="12" t="s">
        <v>667</v>
      </c>
      <c r="C317" s="13">
        <f>+542954655152</f>
        <v>542954655152</v>
      </c>
      <c r="D317" s="12" t="s">
        <v>668</v>
      </c>
      <c r="E317" s="5" t="s">
        <v>16</v>
      </c>
      <c r="F317" s="5" t="s">
        <v>21</v>
      </c>
      <c r="G317" s="5" t="s">
        <v>18</v>
      </c>
      <c r="H317" s="14"/>
      <c r="I317" s="14"/>
      <c r="J317" s="15"/>
      <c r="K317" s="14" t="s">
        <v>578</v>
      </c>
      <c r="L317" s="7" t="s">
        <v>579</v>
      </c>
      <c r="M317" s="12" t="s">
        <v>580</v>
      </c>
      <c r="N317" s="12" t="s">
        <v>585</v>
      </c>
    </row>
    <row r="318">
      <c r="A318" s="4">
        <v>45962.0</v>
      </c>
      <c r="B318" s="12" t="s">
        <v>669</v>
      </c>
      <c r="C318" s="13">
        <f>+542612649397</f>
        <v>542612649397</v>
      </c>
      <c r="D318" s="12" t="s">
        <v>670</v>
      </c>
      <c r="E318" s="12" t="s">
        <v>577</v>
      </c>
      <c r="F318" s="5" t="s">
        <v>21</v>
      </c>
      <c r="G318" s="5" t="s">
        <v>25</v>
      </c>
      <c r="H318" s="14"/>
      <c r="I318" s="14"/>
      <c r="J318" s="15"/>
      <c r="K318" s="14" t="s">
        <v>578</v>
      </c>
      <c r="L318" s="7" t="s">
        <v>579</v>
      </c>
      <c r="M318" s="12" t="s">
        <v>580</v>
      </c>
      <c r="N318" s="12" t="s">
        <v>581</v>
      </c>
    </row>
    <row r="319">
      <c r="A319" s="4">
        <v>45962.0</v>
      </c>
      <c r="B319" s="12" t="s">
        <v>671</v>
      </c>
      <c r="C319" s="13">
        <f>+543435016036</f>
        <v>543435016036</v>
      </c>
      <c r="D319" s="12" t="s">
        <v>672</v>
      </c>
      <c r="E319" s="5" t="s">
        <v>16</v>
      </c>
      <c r="F319" s="5" t="s">
        <v>21</v>
      </c>
      <c r="G319" s="5" t="s">
        <v>18</v>
      </c>
      <c r="H319" s="14"/>
      <c r="I319" s="14"/>
      <c r="J319" s="15"/>
      <c r="K319" s="14" t="s">
        <v>578</v>
      </c>
      <c r="L319" s="7" t="s">
        <v>579</v>
      </c>
      <c r="M319" s="12" t="s">
        <v>580</v>
      </c>
      <c r="N319" s="12" t="s">
        <v>585</v>
      </c>
    </row>
    <row r="320">
      <c r="A320" s="4">
        <v>45962.0</v>
      </c>
      <c r="B320" s="12" t="s">
        <v>673</v>
      </c>
      <c r="C320" s="13">
        <f>+542975902299</f>
        <v>542975902299</v>
      </c>
      <c r="D320" s="12" t="s">
        <v>674</v>
      </c>
      <c r="E320" s="12" t="s">
        <v>577</v>
      </c>
      <c r="F320" s="5" t="s">
        <v>21</v>
      </c>
      <c r="G320" s="5" t="s">
        <v>25</v>
      </c>
      <c r="H320" s="14"/>
      <c r="I320" s="14"/>
      <c r="J320" s="15"/>
      <c r="K320" s="14" t="s">
        <v>578</v>
      </c>
      <c r="L320" s="7" t="s">
        <v>579</v>
      </c>
      <c r="M320" s="12" t="s">
        <v>580</v>
      </c>
      <c r="N320" s="12" t="s">
        <v>581</v>
      </c>
    </row>
    <row r="321">
      <c r="A321" s="4">
        <v>45962.0</v>
      </c>
      <c r="B321" s="12" t="s">
        <v>675</v>
      </c>
      <c r="C321" s="13">
        <f>+543513521760</f>
        <v>543513521760</v>
      </c>
      <c r="D321" s="12" t="s">
        <v>676</v>
      </c>
      <c r="E321" s="12" t="s">
        <v>577</v>
      </c>
      <c r="F321" s="5" t="s">
        <v>21</v>
      </c>
      <c r="G321" s="5" t="s">
        <v>18</v>
      </c>
      <c r="H321" s="14"/>
      <c r="I321" s="14"/>
      <c r="J321" s="15"/>
      <c r="K321" s="14" t="s">
        <v>578</v>
      </c>
      <c r="L321" s="7" t="s">
        <v>579</v>
      </c>
      <c r="M321" s="12" t="s">
        <v>580</v>
      </c>
      <c r="N321" s="12" t="s">
        <v>585</v>
      </c>
    </row>
    <row r="322">
      <c r="A322" s="4">
        <v>45962.0</v>
      </c>
      <c r="B322" s="12" t="s">
        <v>677</v>
      </c>
      <c r="C322" s="13">
        <f>+543434480937</f>
        <v>543434480937</v>
      </c>
      <c r="D322" s="12" t="s">
        <v>678</v>
      </c>
      <c r="E322" s="12" t="s">
        <v>577</v>
      </c>
      <c r="F322" s="5" t="s">
        <v>21</v>
      </c>
      <c r="G322" s="5" t="s">
        <v>25</v>
      </c>
      <c r="H322" s="14"/>
      <c r="I322" s="14"/>
      <c r="J322" s="15"/>
      <c r="K322" s="14" t="s">
        <v>578</v>
      </c>
      <c r="L322" s="7" t="s">
        <v>579</v>
      </c>
      <c r="M322" s="12" t="s">
        <v>580</v>
      </c>
      <c r="N322" s="12" t="s">
        <v>581</v>
      </c>
    </row>
    <row r="323">
      <c r="A323" s="4">
        <v>45962.0</v>
      </c>
      <c r="B323" s="12" t="s">
        <v>679</v>
      </c>
      <c r="C323" s="13">
        <f>+543827655698</f>
        <v>543827655698</v>
      </c>
      <c r="D323" s="12" t="s">
        <v>680</v>
      </c>
      <c r="E323" s="12" t="s">
        <v>577</v>
      </c>
      <c r="F323" s="5" t="s">
        <v>21</v>
      </c>
      <c r="G323" s="5" t="s">
        <v>25</v>
      </c>
      <c r="H323" s="14"/>
      <c r="I323" s="14"/>
      <c r="J323" s="15"/>
      <c r="K323" s="14" t="s">
        <v>578</v>
      </c>
      <c r="L323" s="7" t="s">
        <v>579</v>
      </c>
      <c r="M323" s="12" t="s">
        <v>580</v>
      </c>
      <c r="N323" s="12" t="s">
        <v>581</v>
      </c>
    </row>
    <row r="324">
      <c r="A324" s="4">
        <v>45962.0</v>
      </c>
      <c r="B324" s="12" t="s">
        <v>681</v>
      </c>
      <c r="C324" s="13">
        <f>+542494518514</f>
        <v>542494518514</v>
      </c>
      <c r="D324" s="12" t="s">
        <v>682</v>
      </c>
      <c r="E324" s="12" t="s">
        <v>577</v>
      </c>
      <c r="F324" s="5" t="s">
        <v>21</v>
      </c>
      <c r="G324" s="5" t="s">
        <v>18</v>
      </c>
      <c r="H324" s="14"/>
      <c r="I324" s="14"/>
      <c r="J324" s="15"/>
      <c r="K324" s="14" t="s">
        <v>578</v>
      </c>
      <c r="L324" s="7" t="s">
        <v>584</v>
      </c>
      <c r="M324" s="12" t="s">
        <v>580</v>
      </c>
      <c r="N324" s="12" t="s">
        <v>585</v>
      </c>
    </row>
    <row r="325">
      <c r="A325" s="4">
        <v>45962.0</v>
      </c>
      <c r="B325" s="12" t="s">
        <v>683</v>
      </c>
      <c r="C325" s="13">
        <f>+541128452145</f>
        <v>541128452145</v>
      </c>
      <c r="D325" s="12" t="s">
        <v>684</v>
      </c>
      <c r="E325" s="5" t="s">
        <v>16</v>
      </c>
      <c r="F325" s="5" t="s">
        <v>21</v>
      </c>
      <c r="G325" s="5" t="s">
        <v>25</v>
      </c>
      <c r="H325" s="14"/>
      <c r="I325" s="14"/>
      <c r="J325" s="15"/>
      <c r="K325" s="14" t="s">
        <v>578</v>
      </c>
      <c r="L325" s="7" t="s">
        <v>584</v>
      </c>
      <c r="M325" s="12" t="s">
        <v>580</v>
      </c>
      <c r="N325" s="12" t="s">
        <v>581</v>
      </c>
    </row>
    <row r="326">
      <c r="A326" s="4">
        <v>45963.0</v>
      </c>
      <c r="B326" s="12" t="s">
        <v>685</v>
      </c>
      <c r="C326" s="17">
        <v>2.942339901E9</v>
      </c>
      <c r="D326" s="12" t="s">
        <v>686</v>
      </c>
      <c r="E326" s="5" t="s">
        <v>24</v>
      </c>
      <c r="F326" s="5" t="s">
        <v>21</v>
      </c>
      <c r="G326" s="5" t="s">
        <v>18</v>
      </c>
      <c r="H326" s="14"/>
      <c r="I326" s="14"/>
      <c r="J326" s="15"/>
      <c r="K326" s="14" t="s">
        <v>578</v>
      </c>
      <c r="L326" s="12" t="s">
        <v>579</v>
      </c>
      <c r="M326" s="12" t="s">
        <v>580</v>
      </c>
      <c r="N326" s="12" t="s">
        <v>585</v>
      </c>
    </row>
    <row r="327">
      <c r="A327" s="4">
        <v>45963.0</v>
      </c>
      <c r="B327" s="12" t="s">
        <v>687</v>
      </c>
      <c r="C327" s="17">
        <v>3.417211905E9</v>
      </c>
      <c r="D327" s="12" t="s">
        <v>688</v>
      </c>
      <c r="E327" s="5" t="s">
        <v>16</v>
      </c>
      <c r="F327" s="5" t="s">
        <v>21</v>
      </c>
      <c r="G327" s="5" t="s">
        <v>25</v>
      </c>
      <c r="H327" s="14"/>
      <c r="I327" s="14"/>
      <c r="J327" s="15"/>
      <c r="K327" s="14" t="s">
        <v>578</v>
      </c>
      <c r="L327" s="12" t="s">
        <v>584</v>
      </c>
      <c r="M327" s="12" t="s">
        <v>580</v>
      </c>
      <c r="N327" s="12" t="s">
        <v>585</v>
      </c>
    </row>
    <row r="328">
      <c r="A328" s="4">
        <v>45963.0</v>
      </c>
      <c r="B328" s="9" t="s">
        <v>689</v>
      </c>
      <c r="C328" s="10">
        <f>+5491164871630</f>
        <v>5491164871630</v>
      </c>
      <c r="D328" s="9" t="s">
        <v>690</v>
      </c>
      <c r="E328" s="9" t="s">
        <v>577</v>
      </c>
      <c r="F328" s="5" t="s">
        <v>21</v>
      </c>
      <c r="G328" s="5" t="s">
        <v>25</v>
      </c>
      <c r="H328" s="14"/>
      <c r="I328" s="14"/>
      <c r="K328" s="14" t="s">
        <v>578</v>
      </c>
      <c r="L328" s="12" t="s">
        <v>579</v>
      </c>
      <c r="M328" s="9" t="s">
        <v>624</v>
      </c>
      <c r="N328" s="9" t="s">
        <v>585</v>
      </c>
    </row>
    <row r="329">
      <c r="A329" s="4">
        <v>45963.0</v>
      </c>
      <c r="B329" s="9" t="s">
        <v>691</v>
      </c>
      <c r="C329" s="10">
        <f>+543512371985</f>
        <v>543512371985</v>
      </c>
      <c r="D329" s="9" t="s">
        <v>692</v>
      </c>
      <c r="E329" s="5" t="s">
        <v>24</v>
      </c>
      <c r="F329" s="5" t="s">
        <v>21</v>
      </c>
      <c r="G329" s="5" t="s">
        <v>25</v>
      </c>
      <c r="H329" s="14"/>
      <c r="I329" s="14"/>
      <c r="K329" s="14" t="s">
        <v>578</v>
      </c>
      <c r="L329" s="12" t="s">
        <v>584</v>
      </c>
      <c r="M329" s="9" t="s">
        <v>580</v>
      </c>
      <c r="N329" s="9" t="s">
        <v>585</v>
      </c>
    </row>
    <row r="330">
      <c r="A330" s="4">
        <v>45963.0</v>
      </c>
      <c r="B330" s="9" t="s">
        <v>693</v>
      </c>
      <c r="C330" s="10">
        <f>+543834605411</f>
        <v>543834605411</v>
      </c>
      <c r="D330" s="9" t="s">
        <v>694</v>
      </c>
      <c r="E330" s="9" t="s">
        <v>577</v>
      </c>
      <c r="F330" s="5" t="s">
        <v>21</v>
      </c>
      <c r="G330" s="5" t="s">
        <v>25</v>
      </c>
      <c r="H330" s="14"/>
      <c r="I330" s="14"/>
      <c r="K330" s="14" t="s">
        <v>578</v>
      </c>
      <c r="L330" s="12" t="s">
        <v>579</v>
      </c>
      <c r="M330" s="9" t="s">
        <v>580</v>
      </c>
      <c r="N330" s="9" t="s">
        <v>581</v>
      </c>
    </row>
    <row r="331">
      <c r="A331" s="4">
        <v>45963.0</v>
      </c>
      <c r="B331" s="9" t="s">
        <v>695</v>
      </c>
      <c r="C331" s="10">
        <f>+543424795888</f>
        <v>543424795888</v>
      </c>
      <c r="D331" s="9" t="s">
        <v>696</v>
      </c>
      <c r="E331" s="5" t="s">
        <v>16</v>
      </c>
      <c r="F331" s="5" t="s">
        <v>21</v>
      </c>
      <c r="G331" s="5" t="s">
        <v>18</v>
      </c>
      <c r="H331" s="14"/>
      <c r="I331" s="14"/>
      <c r="K331" s="14" t="s">
        <v>578</v>
      </c>
      <c r="L331" s="12" t="s">
        <v>579</v>
      </c>
      <c r="M331" s="9" t="s">
        <v>580</v>
      </c>
      <c r="N331" s="9" t="s">
        <v>585</v>
      </c>
    </row>
    <row r="332">
      <c r="A332" s="4">
        <v>45963.0</v>
      </c>
      <c r="B332" s="9" t="s">
        <v>697</v>
      </c>
      <c r="C332" s="10">
        <f>+543515053400</f>
        <v>543515053400</v>
      </c>
      <c r="D332" s="9" t="s">
        <v>698</v>
      </c>
      <c r="E332" s="5" t="s">
        <v>24</v>
      </c>
      <c r="F332" s="5" t="s">
        <v>21</v>
      </c>
      <c r="G332" s="5" t="s">
        <v>25</v>
      </c>
      <c r="H332" s="14"/>
      <c r="I332" s="14"/>
      <c r="K332" s="14" t="s">
        <v>578</v>
      </c>
      <c r="L332" s="12" t="s">
        <v>584</v>
      </c>
      <c r="M332" s="9" t="s">
        <v>580</v>
      </c>
      <c r="N332" s="9" t="s">
        <v>585</v>
      </c>
    </row>
    <row r="333">
      <c r="A333" s="4">
        <v>45963.0</v>
      </c>
      <c r="B333" s="9" t="s">
        <v>699</v>
      </c>
      <c r="C333" s="10">
        <f>+543413843495</f>
        <v>543413843495</v>
      </c>
      <c r="D333" s="9" t="s">
        <v>700</v>
      </c>
      <c r="E333" s="5" t="s">
        <v>16</v>
      </c>
      <c r="F333" s="12" t="s">
        <v>17</v>
      </c>
      <c r="G333" s="5" t="s">
        <v>18</v>
      </c>
      <c r="H333" s="14"/>
      <c r="I333" s="14"/>
      <c r="K333" s="14" t="s">
        <v>578</v>
      </c>
      <c r="L333" s="12" t="s">
        <v>579</v>
      </c>
      <c r="M333" s="9" t="s">
        <v>580</v>
      </c>
      <c r="N333" s="9" t="s">
        <v>585</v>
      </c>
    </row>
    <row r="334">
      <c r="A334" s="4">
        <v>45963.0</v>
      </c>
      <c r="B334" s="9" t="s">
        <v>701</v>
      </c>
      <c r="C334" s="10">
        <f>+542984862445</f>
        <v>542984862445</v>
      </c>
      <c r="D334" s="9" t="s">
        <v>702</v>
      </c>
      <c r="E334" s="5" t="s">
        <v>16</v>
      </c>
      <c r="F334" s="12" t="s">
        <v>17</v>
      </c>
      <c r="G334" s="5" t="s">
        <v>18</v>
      </c>
      <c r="H334" s="14"/>
      <c r="I334" s="14"/>
      <c r="K334" s="14" t="s">
        <v>578</v>
      </c>
      <c r="L334" s="12" t="s">
        <v>584</v>
      </c>
      <c r="M334" s="9" t="s">
        <v>580</v>
      </c>
      <c r="N334" s="9" t="s">
        <v>585</v>
      </c>
    </row>
    <row r="335">
      <c r="A335" s="4">
        <v>45963.0</v>
      </c>
      <c r="B335" s="9" t="s">
        <v>703</v>
      </c>
      <c r="C335" s="10">
        <f>+542664574261</f>
        <v>542664574261</v>
      </c>
      <c r="D335" s="9" t="s">
        <v>704</v>
      </c>
      <c r="E335" s="9" t="s">
        <v>577</v>
      </c>
      <c r="F335" s="5" t="s">
        <v>21</v>
      </c>
      <c r="G335" s="5" t="s">
        <v>25</v>
      </c>
      <c r="H335" s="14"/>
      <c r="I335" s="14"/>
      <c r="K335" s="14" t="s">
        <v>578</v>
      </c>
      <c r="L335" s="12" t="s">
        <v>579</v>
      </c>
      <c r="M335" s="9" t="s">
        <v>580</v>
      </c>
      <c r="N335" s="9" t="s">
        <v>581</v>
      </c>
    </row>
    <row r="336">
      <c r="A336" s="4">
        <v>45963.0</v>
      </c>
      <c r="B336" s="9" t="s">
        <v>705</v>
      </c>
      <c r="C336" s="10">
        <f>+543777309520</f>
        <v>543777309520</v>
      </c>
      <c r="D336" s="9" t="s">
        <v>706</v>
      </c>
      <c r="E336" s="5" t="s">
        <v>16</v>
      </c>
      <c r="F336" s="5" t="s">
        <v>21</v>
      </c>
      <c r="G336" s="5" t="s">
        <v>25</v>
      </c>
      <c r="H336" s="14"/>
      <c r="I336" s="14"/>
      <c r="K336" s="14" t="s">
        <v>578</v>
      </c>
      <c r="L336" s="12" t="s">
        <v>579</v>
      </c>
      <c r="M336" s="9" t="s">
        <v>580</v>
      </c>
      <c r="N336" s="9" t="s">
        <v>581</v>
      </c>
    </row>
    <row r="337">
      <c r="A337" s="4">
        <v>45964.0</v>
      </c>
      <c r="B337" s="9" t="s">
        <v>707</v>
      </c>
      <c r="C337" s="10">
        <f>+5493758509284</f>
        <v>5493758509284</v>
      </c>
      <c r="D337" s="9" t="s">
        <v>708</v>
      </c>
      <c r="E337" s="9" t="s">
        <v>577</v>
      </c>
      <c r="F337" s="5" t="s">
        <v>21</v>
      </c>
      <c r="G337" s="5" t="s">
        <v>25</v>
      </c>
      <c r="H337" s="14"/>
      <c r="I337" s="14"/>
      <c r="K337" s="14" t="s">
        <v>578</v>
      </c>
      <c r="L337" s="9" t="s">
        <v>579</v>
      </c>
      <c r="M337" s="9" t="s">
        <v>580</v>
      </c>
      <c r="N337" s="9" t="s">
        <v>585</v>
      </c>
    </row>
    <row r="338">
      <c r="A338" s="4">
        <v>45964.0</v>
      </c>
      <c r="B338" s="9" t="s">
        <v>709</v>
      </c>
      <c r="C338" s="10">
        <f>+541124872277</f>
        <v>541124872277</v>
      </c>
      <c r="D338" s="9" t="s">
        <v>710</v>
      </c>
      <c r="E338" s="5" t="s">
        <v>24</v>
      </c>
      <c r="F338" s="12" t="s">
        <v>17</v>
      </c>
      <c r="G338" s="5" t="s">
        <v>25</v>
      </c>
      <c r="H338" s="14"/>
      <c r="I338" s="14"/>
      <c r="K338" s="14" t="s">
        <v>578</v>
      </c>
      <c r="L338" s="9" t="s">
        <v>584</v>
      </c>
      <c r="M338" s="9" t="s">
        <v>624</v>
      </c>
      <c r="N338" s="9" t="s">
        <v>581</v>
      </c>
    </row>
    <row r="339">
      <c r="A339" s="4">
        <v>45964.0</v>
      </c>
      <c r="B339" s="9" t="s">
        <v>711</v>
      </c>
      <c r="C339" s="10">
        <f>+542996560703</f>
        <v>542996560703</v>
      </c>
      <c r="D339" s="9" t="s">
        <v>712</v>
      </c>
      <c r="E339" s="9" t="s">
        <v>577</v>
      </c>
      <c r="F339" s="5" t="s">
        <v>21</v>
      </c>
      <c r="G339" s="5" t="s">
        <v>25</v>
      </c>
      <c r="H339" s="14"/>
      <c r="I339" s="14"/>
      <c r="K339" s="14" t="s">
        <v>578</v>
      </c>
      <c r="L339" s="9" t="s">
        <v>579</v>
      </c>
      <c r="M339" s="9" t="s">
        <v>580</v>
      </c>
      <c r="N339" s="9" t="s">
        <v>581</v>
      </c>
    </row>
    <row r="340">
      <c r="A340" s="4">
        <v>45964.0</v>
      </c>
      <c r="B340" s="9" t="s">
        <v>713</v>
      </c>
      <c r="C340" s="10">
        <f>+542604930383</f>
        <v>542604930383</v>
      </c>
      <c r="D340" s="9" t="s">
        <v>714</v>
      </c>
      <c r="E340" s="5" t="s">
        <v>24</v>
      </c>
      <c r="F340" s="5" t="s">
        <v>21</v>
      </c>
      <c r="G340" s="5" t="s">
        <v>25</v>
      </c>
      <c r="H340" s="14"/>
      <c r="I340" s="14"/>
      <c r="K340" s="14" t="s">
        <v>578</v>
      </c>
      <c r="L340" s="9" t="s">
        <v>579</v>
      </c>
      <c r="M340" s="9" t="s">
        <v>580</v>
      </c>
      <c r="N340" s="9" t="s">
        <v>581</v>
      </c>
    </row>
    <row r="341">
      <c r="A341" s="4">
        <v>45964.0</v>
      </c>
      <c r="B341" s="12" t="s">
        <v>715</v>
      </c>
      <c r="C341" s="13">
        <f>+5493416924855</f>
        <v>5493416924855</v>
      </c>
      <c r="D341" s="12" t="s">
        <v>716</v>
      </c>
      <c r="E341" s="12" t="s">
        <v>577</v>
      </c>
      <c r="F341" s="5" t="s">
        <v>21</v>
      </c>
      <c r="G341" s="5" t="s">
        <v>25</v>
      </c>
      <c r="H341" s="12" t="s">
        <v>717</v>
      </c>
      <c r="I341" s="12" t="s">
        <v>718</v>
      </c>
      <c r="J341" s="15"/>
      <c r="K341" s="14" t="s">
        <v>578</v>
      </c>
      <c r="L341" s="12" t="s">
        <v>579</v>
      </c>
      <c r="M341" s="12" t="s">
        <v>580</v>
      </c>
      <c r="N341" s="12" t="s">
        <v>585</v>
      </c>
    </row>
    <row r="342">
      <c r="A342" s="4">
        <v>45964.0</v>
      </c>
      <c r="B342" s="12" t="s">
        <v>719</v>
      </c>
      <c r="C342" s="13">
        <f>+542944148304</f>
        <v>542944148304</v>
      </c>
      <c r="D342" s="12" t="s">
        <v>720</v>
      </c>
      <c r="E342" s="12" t="s">
        <v>577</v>
      </c>
      <c r="F342" s="5" t="s">
        <v>21</v>
      </c>
      <c r="G342" s="5" t="s">
        <v>58</v>
      </c>
      <c r="H342" s="12" t="s">
        <v>717</v>
      </c>
      <c r="I342" s="12" t="s">
        <v>721</v>
      </c>
      <c r="J342" s="15"/>
      <c r="K342" s="14" t="s">
        <v>578</v>
      </c>
      <c r="L342" s="12" t="s">
        <v>584</v>
      </c>
      <c r="M342" s="12" t="s">
        <v>580</v>
      </c>
      <c r="N342" s="12" t="s">
        <v>581</v>
      </c>
    </row>
    <row r="343">
      <c r="A343" s="4">
        <v>45964.0</v>
      </c>
      <c r="B343" s="12" t="s">
        <v>722</v>
      </c>
      <c r="C343" s="13">
        <f>+543364112712</f>
        <v>543364112712</v>
      </c>
      <c r="D343" s="12" t="s">
        <v>723</v>
      </c>
      <c r="E343" s="12" t="s">
        <v>577</v>
      </c>
      <c r="F343" s="5" t="s">
        <v>21</v>
      </c>
      <c r="G343" s="5" t="s">
        <v>25</v>
      </c>
      <c r="H343" s="12" t="s">
        <v>717</v>
      </c>
      <c r="I343" s="12" t="s">
        <v>724</v>
      </c>
      <c r="J343" s="15"/>
      <c r="K343" s="14" t="s">
        <v>578</v>
      </c>
      <c r="L343" s="12" t="s">
        <v>579</v>
      </c>
      <c r="M343" s="12" t="s">
        <v>580</v>
      </c>
      <c r="N343" s="12" t="s">
        <v>581</v>
      </c>
    </row>
    <row r="344">
      <c r="A344" s="4">
        <v>45964.0</v>
      </c>
      <c r="B344" s="12" t="s">
        <v>725</v>
      </c>
      <c r="C344" s="13">
        <f>+541159658521</f>
        <v>541159658521</v>
      </c>
      <c r="D344" s="12" t="s">
        <v>726</v>
      </c>
      <c r="E344" s="5" t="s">
        <v>24</v>
      </c>
      <c r="F344" s="5" t="s">
        <v>21</v>
      </c>
      <c r="G344" s="5" t="s">
        <v>25</v>
      </c>
      <c r="H344" s="12" t="s">
        <v>727</v>
      </c>
      <c r="I344" s="12" t="s">
        <v>728</v>
      </c>
      <c r="J344" s="15"/>
      <c r="K344" s="14" t="s">
        <v>578</v>
      </c>
      <c r="L344" s="12" t="s">
        <v>584</v>
      </c>
      <c r="M344" s="12" t="s">
        <v>580</v>
      </c>
      <c r="N344" s="12" t="s">
        <v>581</v>
      </c>
    </row>
    <row r="345">
      <c r="A345" s="4">
        <v>45965.0</v>
      </c>
      <c r="B345" s="12" t="s">
        <v>729</v>
      </c>
      <c r="C345" s="13">
        <f>+541150505223</f>
        <v>541150505223</v>
      </c>
      <c r="D345" s="12" t="s">
        <v>730</v>
      </c>
      <c r="E345" s="5" t="s">
        <v>24</v>
      </c>
      <c r="F345" s="5" t="s">
        <v>21</v>
      </c>
      <c r="G345" s="5" t="s">
        <v>18</v>
      </c>
      <c r="H345" s="12" t="s">
        <v>717</v>
      </c>
      <c r="I345" s="12" t="s">
        <v>731</v>
      </c>
      <c r="J345" s="15"/>
      <c r="K345" s="14" t="s">
        <v>578</v>
      </c>
      <c r="L345" s="12" t="s">
        <v>584</v>
      </c>
      <c r="M345" s="12" t="s">
        <v>580</v>
      </c>
      <c r="N345" s="12" t="s">
        <v>585</v>
      </c>
    </row>
    <row r="346">
      <c r="A346" s="4">
        <v>45965.0</v>
      </c>
      <c r="B346" s="12" t="s">
        <v>732</v>
      </c>
      <c r="C346" s="13">
        <f>+5493564608039</f>
        <v>5493564608039</v>
      </c>
      <c r="D346" s="12" t="s">
        <v>733</v>
      </c>
      <c r="E346" s="12" t="s">
        <v>577</v>
      </c>
      <c r="F346" s="5" t="s">
        <v>21</v>
      </c>
      <c r="G346" s="5" t="s">
        <v>18</v>
      </c>
      <c r="H346" s="12" t="s">
        <v>717</v>
      </c>
      <c r="I346" s="12" t="s">
        <v>734</v>
      </c>
      <c r="J346" s="15"/>
      <c r="K346" s="14" t="s">
        <v>578</v>
      </c>
      <c r="L346" s="12" t="s">
        <v>579</v>
      </c>
      <c r="M346" s="12" t="s">
        <v>580</v>
      </c>
      <c r="N346" s="12" t="s">
        <v>585</v>
      </c>
    </row>
    <row r="347">
      <c r="A347" s="4">
        <v>45965.0</v>
      </c>
      <c r="B347" s="12" t="s">
        <v>735</v>
      </c>
      <c r="C347" s="13">
        <f>+542325469482</f>
        <v>542325469482</v>
      </c>
      <c r="D347" s="12" t="s">
        <v>736</v>
      </c>
      <c r="E347" s="5" t="s">
        <v>16</v>
      </c>
      <c r="F347" s="5" t="s">
        <v>21</v>
      </c>
      <c r="G347" s="5" t="s">
        <v>25</v>
      </c>
      <c r="H347" s="12" t="s">
        <v>727</v>
      </c>
      <c r="I347" s="12" t="s">
        <v>737</v>
      </c>
      <c r="J347" s="15"/>
      <c r="K347" s="14" t="s">
        <v>578</v>
      </c>
      <c r="L347" s="12" t="s">
        <v>579</v>
      </c>
      <c r="M347" s="12" t="s">
        <v>580</v>
      </c>
      <c r="N347" s="12" t="s">
        <v>585</v>
      </c>
    </row>
    <row r="348">
      <c r="A348" s="4">
        <v>45965.0</v>
      </c>
      <c r="B348" s="12" t="s">
        <v>738</v>
      </c>
      <c r="C348" s="13">
        <f>+543408574500</f>
        <v>543408574500</v>
      </c>
      <c r="D348" s="12" t="s">
        <v>739</v>
      </c>
      <c r="E348" s="5" t="s">
        <v>16</v>
      </c>
      <c r="F348" s="5" t="s">
        <v>21</v>
      </c>
      <c r="G348" s="5" t="s">
        <v>18</v>
      </c>
      <c r="H348" s="12" t="s">
        <v>740</v>
      </c>
      <c r="I348" s="12" t="s">
        <v>741</v>
      </c>
      <c r="J348" s="15"/>
      <c r="K348" s="14" t="s">
        <v>578</v>
      </c>
      <c r="L348" s="12" t="s">
        <v>579</v>
      </c>
      <c r="M348" s="12" t="s">
        <v>580</v>
      </c>
      <c r="N348" s="12" t="s">
        <v>585</v>
      </c>
    </row>
    <row r="349">
      <c r="A349" s="4">
        <v>45965.0</v>
      </c>
      <c r="B349" s="12" t="s">
        <v>742</v>
      </c>
      <c r="C349" s="13">
        <f>+543462467968</f>
        <v>543462467968</v>
      </c>
      <c r="D349" s="12" t="s">
        <v>743</v>
      </c>
      <c r="E349" s="12" t="s">
        <v>577</v>
      </c>
      <c r="F349" s="12" t="s">
        <v>744</v>
      </c>
      <c r="G349" s="5" t="s">
        <v>25</v>
      </c>
      <c r="H349" s="12" t="s">
        <v>745</v>
      </c>
      <c r="I349" s="12" t="s">
        <v>746</v>
      </c>
      <c r="J349" s="15"/>
      <c r="K349" s="14" t="s">
        <v>578</v>
      </c>
      <c r="L349" s="12" t="s">
        <v>579</v>
      </c>
      <c r="M349" s="12" t="s">
        <v>580</v>
      </c>
      <c r="N349" s="12" t="s">
        <v>581</v>
      </c>
    </row>
    <row r="350">
      <c r="A350" s="4">
        <v>45965.0</v>
      </c>
      <c r="B350" s="12" t="s">
        <v>747</v>
      </c>
      <c r="C350" s="13">
        <f>+542657281925</f>
        <v>542657281925</v>
      </c>
      <c r="D350" s="12" t="s">
        <v>748</v>
      </c>
      <c r="E350" s="12" t="s">
        <v>577</v>
      </c>
      <c r="F350" s="5" t="s">
        <v>21</v>
      </c>
      <c r="G350" s="5" t="s">
        <v>18</v>
      </c>
      <c r="H350" s="12" t="s">
        <v>740</v>
      </c>
      <c r="I350" s="12" t="s">
        <v>749</v>
      </c>
      <c r="J350" s="15"/>
      <c r="K350" s="14" t="s">
        <v>578</v>
      </c>
      <c r="L350" s="12" t="s">
        <v>579</v>
      </c>
      <c r="M350" s="12" t="s">
        <v>580</v>
      </c>
      <c r="N350" s="12" t="s">
        <v>581</v>
      </c>
    </row>
    <row r="351">
      <c r="A351" s="4">
        <v>45965.0</v>
      </c>
      <c r="B351" s="12" t="s">
        <v>750</v>
      </c>
      <c r="C351" s="13">
        <f>+541121645794</f>
        <v>541121645794</v>
      </c>
      <c r="D351" s="12" t="s">
        <v>751</v>
      </c>
      <c r="E351" s="12" t="s">
        <v>577</v>
      </c>
      <c r="F351" s="5" t="s">
        <v>21</v>
      </c>
      <c r="G351" s="5" t="s">
        <v>25</v>
      </c>
      <c r="H351" s="12" t="s">
        <v>717</v>
      </c>
      <c r="I351" s="12" t="s">
        <v>752</v>
      </c>
      <c r="J351" s="15"/>
      <c r="K351" s="14" t="s">
        <v>578</v>
      </c>
      <c r="L351" s="12" t="s">
        <v>584</v>
      </c>
      <c r="M351" s="12" t="s">
        <v>580</v>
      </c>
      <c r="N351" s="12" t="s">
        <v>585</v>
      </c>
    </row>
    <row r="352">
      <c r="A352" s="4">
        <v>45965.0</v>
      </c>
      <c r="B352" s="12" t="s">
        <v>635</v>
      </c>
      <c r="C352" s="13">
        <f>+541160322177</f>
        <v>541160322177</v>
      </c>
      <c r="D352" s="12" t="s">
        <v>636</v>
      </c>
      <c r="E352" s="5" t="s">
        <v>24</v>
      </c>
      <c r="F352" s="12" t="s">
        <v>744</v>
      </c>
      <c r="G352" s="5" t="s">
        <v>25</v>
      </c>
      <c r="H352" s="12" t="s">
        <v>740</v>
      </c>
      <c r="I352" s="12" t="s">
        <v>753</v>
      </c>
      <c r="J352" s="15"/>
      <c r="K352" s="14" t="s">
        <v>578</v>
      </c>
      <c r="L352" s="12" t="s">
        <v>584</v>
      </c>
      <c r="M352" s="12" t="s">
        <v>580</v>
      </c>
      <c r="N352" s="12" t="s">
        <v>585</v>
      </c>
    </row>
    <row r="353">
      <c r="A353" s="4">
        <v>45965.0</v>
      </c>
      <c r="B353" s="12" t="s">
        <v>754</v>
      </c>
      <c r="C353" s="13">
        <f>+542984783292</f>
        <v>542984783292</v>
      </c>
      <c r="D353" s="12" t="s">
        <v>755</v>
      </c>
      <c r="E353" s="5" t="s">
        <v>16</v>
      </c>
      <c r="F353" s="5" t="s">
        <v>21</v>
      </c>
      <c r="G353" s="5" t="s">
        <v>25</v>
      </c>
      <c r="H353" s="12" t="s">
        <v>727</v>
      </c>
      <c r="I353" s="12" t="s">
        <v>756</v>
      </c>
      <c r="J353" s="15"/>
      <c r="K353" s="14" t="s">
        <v>578</v>
      </c>
      <c r="L353" s="12" t="s">
        <v>579</v>
      </c>
      <c r="M353" s="12" t="s">
        <v>580</v>
      </c>
      <c r="N353" s="12" t="s">
        <v>581</v>
      </c>
    </row>
    <row r="354">
      <c r="A354" s="4">
        <v>45965.0</v>
      </c>
      <c r="B354" s="12" t="s">
        <v>757</v>
      </c>
      <c r="C354" s="13">
        <f>+542931455707</f>
        <v>542931455707</v>
      </c>
      <c r="D354" s="12" t="s">
        <v>758</v>
      </c>
      <c r="E354" s="5" t="s">
        <v>24</v>
      </c>
      <c r="F354" s="5" t="s">
        <v>21</v>
      </c>
      <c r="G354" s="5" t="s">
        <v>25</v>
      </c>
      <c r="H354" s="12" t="s">
        <v>717</v>
      </c>
      <c r="I354" s="12" t="s">
        <v>759</v>
      </c>
      <c r="J354" s="15"/>
      <c r="K354" s="14" t="s">
        <v>578</v>
      </c>
      <c r="L354" s="12" t="s">
        <v>579</v>
      </c>
      <c r="M354" s="12" t="s">
        <v>580</v>
      </c>
      <c r="N354" s="12" t="s">
        <v>581</v>
      </c>
    </row>
    <row r="355">
      <c r="A355" s="4">
        <v>45965.0</v>
      </c>
      <c r="B355" s="12" t="s">
        <v>760</v>
      </c>
      <c r="C355" s="13">
        <f>+541138420194</f>
        <v>541138420194</v>
      </c>
      <c r="D355" s="12" t="s">
        <v>761</v>
      </c>
      <c r="E355" s="5" t="s">
        <v>24</v>
      </c>
      <c r="F355" s="12" t="s">
        <v>17</v>
      </c>
      <c r="G355" s="5" t="s">
        <v>25</v>
      </c>
      <c r="H355" s="12" t="s">
        <v>717</v>
      </c>
      <c r="I355" s="12" t="s">
        <v>762</v>
      </c>
      <c r="J355" s="15"/>
      <c r="K355" s="14" t="s">
        <v>578</v>
      </c>
      <c r="L355" s="12" t="s">
        <v>584</v>
      </c>
      <c r="M355" s="12" t="s">
        <v>580</v>
      </c>
      <c r="N355" s="12" t="s">
        <v>581</v>
      </c>
    </row>
    <row r="356">
      <c r="A356" s="4">
        <v>45965.0</v>
      </c>
      <c r="B356" s="12" t="s">
        <v>763</v>
      </c>
      <c r="C356" s="13">
        <f>+541161071112</f>
        <v>541161071112</v>
      </c>
      <c r="D356" s="12" t="s">
        <v>764</v>
      </c>
      <c r="E356" s="5" t="s">
        <v>24</v>
      </c>
      <c r="F356" s="12" t="s">
        <v>744</v>
      </c>
      <c r="G356" s="5" t="s">
        <v>18</v>
      </c>
      <c r="H356" s="12" t="s">
        <v>745</v>
      </c>
      <c r="I356" s="12" t="s">
        <v>765</v>
      </c>
      <c r="J356" s="15"/>
      <c r="K356" s="14" t="s">
        <v>578</v>
      </c>
      <c r="L356" s="12" t="s">
        <v>584</v>
      </c>
      <c r="M356" s="12" t="s">
        <v>580</v>
      </c>
      <c r="N356" s="12" t="s">
        <v>581</v>
      </c>
    </row>
    <row r="357">
      <c r="A357" s="4">
        <v>45965.0</v>
      </c>
      <c r="B357" s="12" t="s">
        <v>766</v>
      </c>
      <c r="C357" s="13">
        <f>+541125201621</f>
        <v>541125201621</v>
      </c>
      <c r="D357" s="12" t="s">
        <v>132</v>
      </c>
      <c r="E357" s="5" t="s">
        <v>16</v>
      </c>
      <c r="F357" s="5" t="s">
        <v>21</v>
      </c>
      <c r="G357" s="5" t="s">
        <v>58</v>
      </c>
      <c r="H357" s="12" t="s">
        <v>717</v>
      </c>
      <c r="I357" s="12" t="s">
        <v>767</v>
      </c>
      <c r="J357" s="15"/>
      <c r="K357" s="14" t="s">
        <v>578</v>
      </c>
      <c r="L357" s="12" t="s">
        <v>584</v>
      </c>
      <c r="M357" s="12" t="s">
        <v>580</v>
      </c>
      <c r="N357" s="12" t="s">
        <v>581</v>
      </c>
    </row>
    <row r="358">
      <c r="A358" s="4">
        <v>45965.0</v>
      </c>
      <c r="B358" s="12" t="s">
        <v>768</v>
      </c>
      <c r="C358" s="13">
        <f>+541151462025</f>
        <v>541151462025</v>
      </c>
      <c r="D358" s="12" t="s">
        <v>769</v>
      </c>
      <c r="E358" s="12" t="s">
        <v>577</v>
      </c>
      <c r="F358" s="5" t="s">
        <v>21</v>
      </c>
      <c r="G358" s="5" t="s">
        <v>18</v>
      </c>
      <c r="H358" s="12" t="s">
        <v>717</v>
      </c>
      <c r="I358" s="12" t="s">
        <v>770</v>
      </c>
      <c r="J358" s="15"/>
      <c r="K358" s="14" t="s">
        <v>578</v>
      </c>
      <c r="L358" s="12" t="s">
        <v>584</v>
      </c>
      <c r="M358" s="12" t="s">
        <v>580</v>
      </c>
      <c r="N358" s="12" t="s">
        <v>585</v>
      </c>
    </row>
    <row r="359">
      <c r="A359" s="4">
        <v>45965.0</v>
      </c>
      <c r="B359" s="12" t="s">
        <v>771</v>
      </c>
      <c r="C359" s="13">
        <f>+543468561256</f>
        <v>543468561256</v>
      </c>
      <c r="D359" s="12" t="s">
        <v>104</v>
      </c>
      <c r="E359" s="5" t="s">
        <v>16</v>
      </c>
      <c r="F359" s="5" t="s">
        <v>21</v>
      </c>
      <c r="G359" s="5" t="s">
        <v>18</v>
      </c>
      <c r="H359" s="12" t="s">
        <v>717</v>
      </c>
      <c r="I359" s="12" t="s">
        <v>734</v>
      </c>
      <c r="J359" s="15"/>
      <c r="K359" s="14" t="s">
        <v>578</v>
      </c>
      <c r="L359" s="12" t="s">
        <v>579</v>
      </c>
      <c r="M359" s="12" t="s">
        <v>580</v>
      </c>
      <c r="N359" s="12" t="s">
        <v>585</v>
      </c>
    </row>
    <row r="360">
      <c r="A360" s="4">
        <v>45966.0</v>
      </c>
      <c r="B360" s="9" t="s">
        <v>772</v>
      </c>
      <c r="C360" s="13">
        <f>+542364316298</f>
        <v>542364316298</v>
      </c>
      <c r="D360" s="12" t="s">
        <v>773</v>
      </c>
      <c r="E360" s="5" t="s">
        <v>16</v>
      </c>
      <c r="F360" s="5" t="s">
        <v>21</v>
      </c>
      <c r="G360" s="5" t="s">
        <v>18</v>
      </c>
      <c r="H360" s="12" t="s">
        <v>717</v>
      </c>
      <c r="I360" s="12" t="s">
        <v>749</v>
      </c>
      <c r="J360" s="15"/>
      <c r="K360" s="14" t="s">
        <v>578</v>
      </c>
      <c r="L360" s="7" t="s">
        <v>584</v>
      </c>
      <c r="M360" s="7" t="s">
        <v>580</v>
      </c>
      <c r="N360" s="12" t="s">
        <v>581</v>
      </c>
    </row>
    <row r="361">
      <c r="A361" s="4">
        <v>45966.0</v>
      </c>
      <c r="B361" s="9" t="s">
        <v>774</v>
      </c>
      <c r="C361" s="13">
        <f>+543794541260</f>
        <v>543794541260</v>
      </c>
      <c r="D361" s="12" t="s">
        <v>775</v>
      </c>
      <c r="E361" s="12" t="s">
        <v>577</v>
      </c>
      <c r="F361" s="5" t="s">
        <v>21</v>
      </c>
      <c r="G361" s="5" t="s">
        <v>25</v>
      </c>
      <c r="H361" s="12" t="s">
        <v>717</v>
      </c>
      <c r="I361" s="12" t="s">
        <v>731</v>
      </c>
      <c r="J361" s="15"/>
      <c r="K361" s="14" t="s">
        <v>578</v>
      </c>
      <c r="L361" s="7" t="s">
        <v>579</v>
      </c>
      <c r="M361" s="7" t="s">
        <v>580</v>
      </c>
      <c r="N361" s="12" t="s">
        <v>585</v>
      </c>
    </row>
    <row r="362">
      <c r="A362" s="4">
        <v>45966.0</v>
      </c>
      <c r="B362" s="9" t="s">
        <v>776</v>
      </c>
      <c r="C362" s="13">
        <f>+543644412024</f>
        <v>543644412024</v>
      </c>
      <c r="D362" s="12" t="s">
        <v>196</v>
      </c>
      <c r="E362" s="5" t="s">
        <v>16</v>
      </c>
      <c r="F362" s="12" t="s">
        <v>17</v>
      </c>
      <c r="G362" s="5" t="s">
        <v>25</v>
      </c>
      <c r="H362" s="12" t="s">
        <v>745</v>
      </c>
      <c r="I362" s="12" t="s">
        <v>777</v>
      </c>
      <c r="J362" s="15"/>
      <c r="K362" s="14" t="s">
        <v>578</v>
      </c>
      <c r="L362" s="7" t="s">
        <v>579</v>
      </c>
      <c r="M362" s="7" t="s">
        <v>580</v>
      </c>
      <c r="N362" s="12" t="s">
        <v>585</v>
      </c>
    </row>
    <row r="363">
      <c r="A363" s="4">
        <v>45966.0</v>
      </c>
      <c r="B363" s="9" t="s">
        <v>778</v>
      </c>
      <c r="C363" s="13">
        <f>+5492994560797</f>
        <v>5492994560797</v>
      </c>
      <c r="D363" s="12" t="s">
        <v>779</v>
      </c>
      <c r="E363" s="5" t="s">
        <v>16</v>
      </c>
      <c r="F363" s="12" t="s">
        <v>17</v>
      </c>
      <c r="G363" s="5" t="s">
        <v>18</v>
      </c>
      <c r="H363" s="12" t="s">
        <v>717</v>
      </c>
      <c r="I363" s="12" t="s">
        <v>780</v>
      </c>
      <c r="J363" s="15"/>
      <c r="K363" s="14" t="s">
        <v>578</v>
      </c>
      <c r="L363" s="7" t="s">
        <v>579</v>
      </c>
      <c r="M363" s="7" t="s">
        <v>580</v>
      </c>
      <c r="N363" s="12" t="s">
        <v>581</v>
      </c>
    </row>
    <row r="364">
      <c r="A364" s="4">
        <v>45966.0</v>
      </c>
      <c r="B364" s="9" t="s">
        <v>781</v>
      </c>
      <c r="C364" s="13">
        <f>+5492236049920</f>
        <v>5492236049920</v>
      </c>
      <c r="D364" s="12" t="s">
        <v>782</v>
      </c>
      <c r="E364" s="5" t="s">
        <v>24</v>
      </c>
      <c r="F364" s="12" t="s">
        <v>17</v>
      </c>
      <c r="G364" s="5" t="s">
        <v>25</v>
      </c>
      <c r="H364" s="12" t="s">
        <v>740</v>
      </c>
      <c r="I364" s="12" t="s">
        <v>783</v>
      </c>
      <c r="J364" s="15"/>
      <c r="K364" s="14" t="s">
        <v>578</v>
      </c>
      <c r="L364" s="7" t="s">
        <v>579</v>
      </c>
      <c r="M364" s="7" t="s">
        <v>580</v>
      </c>
      <c r="N364" s="12" t="s">
        <v>585</v>
      </c>
    </row>
    <row r="365">
      <c r="A365" s="4">
        <v>45966.0</v>
      </c>
      <c r="B365" s="9" t="s">
        <v>784</v>
      </c>
      <c r="C365" s="13">
        <f>+5493516861932</f>
        <v>5493516861932</v>
      </c>
      <c r="D365" s="12" t="s">
        <v>785</v>
      </c>
      <c r="E365" s="5" t="s">
        <v>16</v>
      </c>
      <c r="F365" s="5" t="s">
        <v>21</v>
      </c>
      <c r="G365" s="5" t="s">
        <v>25</v>
      </c>
      <c r="H365" s="12" t="s">
        <v>717</v>
      </c>
      <c r="I365" s="12" t="s">
        <v>786</v>
      </c>
      <c r="J365" s="15"/>
      <c r="K365" s="14" t="s">
        <v>578</v>
      </c>
      <c r="L365" s="7" t="s">
        <v>579</v>
      </c>
      <c r="M365" s="7" t="s">
        <v>580</v>
      </c>
      <c r="N365" s="12" t="s">
        <v>581</v>
      </c>
    </row>
    <row r="366">
      <c r="A366" s="18">
        <v>45966.0</v>
      </c>
      <c r="B366" s="12" t="s">
        <v>787</v>
      </c>
      <c r="C366" s="13">
        <f>+541137919645</f>
        <v>541137919645</v>
      </c>
      <c r="D366" s="12" t="s">
        <v>788</v>
      </c>
      <c r="E366" s="14" t="s">
        <v>16</v>
      </c>
      <c r="F366" s="14" t="s">
        <v>21</v>
      </c>
      <c r="G366" s="14" t="s">
        <v>25</v>
      </c>
      <c r="H366" s="12" t="s">
        <v>745</v>
      </c>
      <c r="I366" s="12" t="s">
        <v>789</v>
      </c>
      <c r="J366" s="15"/>
      <c r="K366" s="14" t="s">
        <v>578</v>
      </c>
      <c r="L366" s="19" t="s">
        <v>584</v>
      </c>
      <c r="M366" s="19" t="s">
        <v>580</v>
      </c>
      <c r="N366" s="12" t="s">
        <v>581</v>
      </c>
      <c r="O366" s="15"/>
    </row>
    <row r="367">
      <c r="A367" s="18">
        <v>45966.0</v>
      </c>
      <c r="B367" s="19" t="s">
        <v>790</v>
      </c>
      <c r="C367" s="20">
        <f>+5493777308719</f>
        <v>5493777308719</v>
      </c>
      <c r="D367" s="19" t="s">
        <v>791</v>
      </c>
      <c r="E367" s="14" t="s">
        <v>24</v>
      </c>
      <c r="F367" s="14" t="s">
        <v>21</v>
      </c>
      <c r="G367" s="14" t="s">
        <v>25</v>
      </c>
      <c r="H367" s="12" t="s">
        <v>745</v>
      </c>
      <c r="I367" s="19" t="s">
        <v>780</v>
      </c>
      <c r="J367" s="15"/>
      <c r="K367" s="14" t="s">
        <v>578</v>
      </c>
      <c r="L367" s="19" t="s">
        <v>584</v>
      </c>
      <c r="M367" s="19" t="s">
        <v>580</v>
      </c>
      <c r="N367" s="19" t="s">
        <v>581</v>
      </c>
      <c r="O367" s="15"/>
    </row>
    <row r="368">
      <c r="A368" s="18">
        <v>45966.0</v>
      </c>
      <c r="B368" s="19" t="s">
        <v>792</v>
      </c>
      <c r="C368" s="20">
        <f>+542364314161</f>
        <v>542364314161</v>
      </c>
      <c r="D368" s="19" t="s">
        <v>793</v>
      </c>
      <c r="E368" s="12" t="s">
        <v>577</v>
      </c>
      <c r="F368" s="14" t="s">
        <v>21</v>
      </c>
      <c r="G368" s="14" t="s">
        <v>18</v>
      </c>
      <c r="H368" s="12" t="s">
        <v>740</v>
      </c>
      <c r="I368" s="19" t="s">
        <v>780</v>
      </c>
      <c r="J368" s="15"/>
      <c r="K368" s="14" t="s">
        <v>578</v>
      </c>
      <c r="L368" s="19" t="s">
        <v>584</v>
      </c>
      <c r="M368" s="19" t="s">
        <v>580</v>
      </c>
      <c r="N368" s="19" t="s">
        <v>581</v>
      </c>
      <c r="O368" s="15"/>
    </row>
    <row r="369">
      <c r="A369" s="18">
        <v>45966.0</v>
      </c>
      <c r="B369" s="19" t="s">
        <v>794</v>
      </c>
      <c r="C369" s="20">
        <f>+541158855912</f>
        <v>541158855912</v>
      </c>
      <c r="D369" s="19" t="s">
        <v>795</v>
      </c>
      <c r="E369" s="14" t="s">
        <v>24</v>
      </c>
      <c r="F369" s="14" t="s">
        <v>21</v>
      </c>
      <c r="G369" s="14" t="s">
        <v>25</v>
      </c>
      <c r="H369" s="12" t="s">
        <v>717</v>
      </c>
      <c r="I369" s="19" t="s">
        <v>796</v>
      </c>
      <c r="J369" s="15"/>
      <c r="K369" s="14" t="s">
        <v>578</v>
      </c>
      <c r="L369" s="19" t="s">
        <v>584</v>
      </c>
      <c r="M369" s="19" t="s">
        <v>580</v>
      </c>
      <c r="N369" s="19" t="s">
        <v>581</v>
      </c>
      <c r="O369" s="15"/>
    </row>
    <row r="370">
      <c r="A370" s="18">
        <v>45966.0</v>
      </c>
      <c r="B370" s="19" t="s">
        <v>797</v>
      </c>
      <c r="C370" s="20">
        <f>+5493472526254</f>
        <v>5493472526254</v>
      </c>
      <c r="D370" s="19" t="s">
        <v>798</v>
      </c>
      <c r="E370" s="14" t="s">
        <v>16</v>
      </c>
      <c r="F370" s="14" t="s">
        <v>21</v>
      </c>
      <c r="G370" s="14" t="s">
        <v>18</v>
      </c>
      <c r="H370" s="12" t="s">
        <v>717</v>
      </c>
      <c r="I370" s="19" t="s">
        <v>734</v>
      </c>
      <c r="J370" s="15"/>
      <c r="K370" s="14" t="s">
        <v>578</v>
      </c>
      <c r="L370" s="19" t="s">
        <v>579</v>
      </c>
      <c r="M370" s="19" t="s">
        <v>580</v>
      </c>
      <c r="N370" s="19" t="s">
        <v>585</v>
      </c>
      <c r="O370" s="15"/>
    </row>
    <row r="371">
      <c r="A371" s="18">
        <v>45966.0</v>
      </c>
      <c r="B371" s="19" t="s">
        <v>799</v>
      </c>
      <c r="C371" s="20">
        <f>+541127048843</f>
        <v>541127048843</v>
      </c>
      <c r="D371" s="19" t="s">
        <v>800</v>
      </c>
      <c r="E371" s="14" t="s">
        <v>24</v>
      </c>
      <c r="F371" s="14" t="s">
        <v>21</v>
      </c>
      <c r="G371" s="14" t="s">
        <v>25</v>
      </c>
      <c r="H371" s="12" t="s">
        <v>717</v>
      </c>
      <c r="I371" s="19" t="s">
        <v>801</v>
      </c>
      <c r="J371" s="15"/>
      <c r="K371" s="14" t="s">
        <v>578</v>
      </c>
      <c r="L371" s="19" t="s">
        <v>584</v>
      </c>
      <c r="M371" s="19" t="s">
        <v>580</v>
      </c>
      <c r="N371" s="19" t="s">
        <v>585</v>
      </c>
      <c r="O371" s="15"/>
    </row>
    <row r="372">
      <c r="A372" s="18">
        <v>45966.0</v>
      </c>
      <c r="B372" s="19" t="s">
        <v>802</v>
      </c>
      <c r="C372" s="20">
        <f>+543424795888</f>
        <v>543424795888</v>
      </c>
      <c r="D372" s="19" t="s">
        <v>696</v>
      </c>
      <c r="E372" s="14" t="s">
        <v>16</v>
      </c>
      <c r="F372" s="14" t="s">
        <v>21</v>
      </c>
      <c r="G372" s="14" t="s">
        <v>18</v>
      </c>
      <c r="H372" s="12" t="s">
        <v>727</v>
      </c>
      <c r="I372" s="19" t="s">
        <v>731</v>
      </c>
      <c r="J372" s="15"/>
      <c r="K372" s="14" t="s">
        <v>578</v>
      </c>
      <c r="L372" s="19" t="s">
        <v>579</v>
      </c>
      <c r="M372" s="19" t="s">
        <v>580</v>
      </c>
      <c r="N372" s="19" t="s">
        <v>585</v>
      </c>
      <c r="O372" s="15"/>
    </row>
    <row r="373">
      <c r="A373" s="18">
        <v>45966.0</v>
      </c>
      <c r="B373" s="19" t="s">
        <v>803</v>
      </c>
      <c r="C373" s="20">
        <f>+542337402992</f>
        <v>542337402992</v>
      </c>
      <c r="D373" s="19" t="s">
        <v>804</v>
      </c>
      <c r="E373" s="14" t="s">
        <v>24</v>
      </c>
      <c r="F373" s="14" t="s">
        <v>21</v>
      </c>
      <c r="G373" s="14" t="s">
        <v>25</v>
      </c>
      <c r="H373" s="12" t="s">
        <v>727</v>
      </c>
      <c r="I373" s="19" t="s">
        <v>731</v>
      </c>
      <c r="J373" s="15"/>
      <c r="K373" s="14" t="s">
        <v>578</v>
      </c>
      <c r="L373" s="19" t="s">
        <v>579</v>
      </c>
      <c r="M373" s="19" t="s">
        <v>580</v>
      </c>
      <c r="N373" s="19" t="s">
        <v>585</v>
      </c>
      <c r="O373" s="15"/>
    </row>
    <row r="374">
      <c r="A374" s="18">
        <v>45967.0</v>
      </c>
      <c r="B374" s="7" t="s">
        <v>805</v>
      </c>
      <c r="C374" s="21">
        <f>+542494373995</f>
        <v>542494373995</v>
      </c>
      <c r="D374" s="7" t="s">
        <v>806</v>
      </c>
      <c r="E374" s="7" t="s">
        <v>577</v>
      </c>
      <c r="F374" s="14" t="s">
        <v>21</v>
      </c>
      <c r="G374" s="14" t="s">
        <v>25</v>
      </c>
      <c r="H374" s="12" t="s">
        <v>717</v>
      </c>
      <c r="I374" s="7" t="s">
        <v>807</v>
      </c>
      <c r="K374" s="14" t="s">
        <v>578</v>
      </c>
      <c r="L374" s="7" t="s">
        <v>579</v>
      </c>
      <c r="M374" s="19" t="s">
        <v>580</v>
      </c>
      <c r="N374" s="7" t="s">
        <v>585</v>
      </c>
    </row>
    <row r="375">
      <c r="A375" s="18">
        <v>45967.0</v>
      </c>
      <c r="B375" s="7" t="s">
        <v>808</v>
      </c>
      <c r="C375" s="21">
        <f>+541161354301</f>
        <v>541161354301</v>
      </c>
      <c r="D375" s="7" t="s">
        <v>809</v>
      </c>
      <c r="E375" s="7" t="s">
        <v>577</v>
      </c>
      <c r="F375" s="14" t="s">
        <v>21</v>
      </c>
      <c r="G375" s="14" t="s">
        <v>25</v>
      </c>
      <c r="H375" s="12" t="s">
        <v>717</v>
      </c>
      <c r="I375" s="7" t="s">
        <v>810</v>
      </c>
      <c r="K375" s="14" t="s">
        <v>578</v>
      </c>
      <c r="L375" s="7" t="s">
        <v>584</v>
      </c>
      <c r="M375" s="19" t="s">
        <v>580</v>
      </c>
      <c r="N375" s="7" t="s">
        <v>581</v>
      </c>
    </row>
    <row r="376">
      <c r="A376" s="18">
        <v>45967.0</v>
      </c>
      <c r="B376" s="7" t="s">
        <v>811</v>
      </c>
      <c r="C376" s="21">
        <f>+542634941090</f>
        <v>542634941090</v>
      </c>
      <c r="D376" s="7" t="s">
        <v>812</v>
      </c>
      <c r="E376" s="14" t="s">
        <v>24</v>
      </c>
      <c r="F376" s="14" t="s">
        <v>21</v>
      </c>
      <c r="G376" s="14" t="s">
        <v>25</v>
      </c>
      <c r="H376" s="12" t="s">
        <v>717</v>
      </c>
      <c r="I376" s="7" t="s">
        <v>813</v>
      </c>
      <c r="K376" s="14" t="s">
        <v>578</v>
      </c>
      <c r="L376" s="7" t="s">
        <v>579</v>
      </c>
      <c r="M376" s="19" t="s">
        <v>580</v>
      </c>
      <c r="N376" s="7" t="s">
        <v>581</v>
      </c>
    </row>
    <row r="377">
      <c r="A377" s="18">
        <v>45967.0</v>
      </c>
      <c r="B377" s="7" t="s">
        <v>814</v>
      </c>
      <c r="C377" s="21">
        <f>+542954614391</f>
        <v>542954614391</v>
      </c>
      <c r="D377" s="7" t="s">
        <v>815</v>
      </c>
      <c r="E377" s="7" t="s">
        <v>577</v>
      </c>
      <c r="F377" s="14" t="s">
        <v>21</v>
      </c>
      <c r="G377" s="14" t="s">
        <v>25</v>
      </c>
      <c r="H377" s="12" t="s">
        <v>717</v>
      </c>
      <c r="I377" s="7" t="s">
        <v>734</v>
      </c>
      <c r="K377" s="14" t="s">
        <v>578</v>
      </c>
      <c r="L377" s="7" t="s">
        <v>579</v>
      </c>
      <c r="M377" s="19" t="s">
        <v>580</v>
      </c>
      <c r="N377" s="7" t="s">
        <v>585</v>
      </c>
    </row>
    <row r="378">
      <c r="A378" s="18">
        <v>45967.0</v>
      </c>
      <c r="B378" s="7" t="s">
        <v>790</v>
      </c>
      <c r="C378" s="21">
        <f>+5493777308719</f>
        <v>5493777308719</v>
      </c>
      <c r="D378" s="7" t="s">
        <v>791</v>
      </c>
      <c r="E378" s="14" t="s">
        <v>24</v>
      </c>
      <c r="F378" s="14" t="s">
        <v>21</v>
      </c>
      <c r="G378" s="14" t="s">
        <v>25</v>
      </c>
      <c r="H378" s="12" t="s">
        <v>745</v>
      </c>
      <c r="I378" s="7" t="s">
        <v>780</v>
      </c>
      <c r="K378" s="14" t="s">
        <v>578</v>
      </c>
      <c r="L378" s="7" t="s">
        <v>584</v>
      </c>
      <c r="M378" s="19" t="s">
        <v>580</v>
      </c>
      <c r="N378" s="7" t="s">
        <v>581</v>
      </c>
    </row>
    <row r="379">
      <c r="A379" s="18">
        <v>45968.0</v>
      </c>
      <c r="B379" s="7" t="s">
        <v>816</v>
      </c>
      <c r="C379" s="21">
        <f>+541165146704</f>
        <v>541165146704</v>
      </c>
      <c r="D379" s="7" t="s">
        <v>817</v>
      </c>
      <c r="E379" s="7" t="s">
        <v>577</v>
      </c>
      <c r="F379" s="14" t="s">
        <v>21</v>
      </c>
      <c r="G379" s="14" t="s">
        <v>18</v>
      </c>
      <c r="H379" s="12" t="s">
        <v>740</v>
      </c>
      <c r="I379" s="7" t="s">
        <v>818</v>
      </c>
      <c r="K379" s="14" t="s">
        <v>578</v>
      </c>
      <c r="L379" s="7" t="s">
        <v>584</v>
      </c>
      <c r="M379" s="19" t="s">
        <v>580</v>
      </c>
      <c r="N379" s="7" t="s">
        <v>585</v>
      </c>
    </row>
    <row r="380">
      <c r="A380" s="18">
        <v>45968.0</v>
      </c>
      <c r="B380" s="7" t="s">
        <v>819</v>
      </c>
      <c r="C380" s="21">
        <f>+543884321349</f>
        <v>543884321349</v>
      </c>
      <c r="D380" s="7" t="s">
        <v>820</v>
      </c>
      <c r="E380" s="14" t="s">
        <v>24</v>
      </c>
      <c r="F380" s="14" t="s">
        <v>21</v>
      </c>
      <c r="G380" s="14" t="s">
        <v>25</v>
      </c>
      <c r="H380" s="12" t="s">
        <v>740</v>
      </c>
      <c r="I380" s="7" t="s">
        <v>821</v>
      </c>
      <c r="K380" s="14" t="s">
        <v>578</v>
      </c>
      <c r="L380" s="7" t="s">
        <v>579</v>
      </c>
      <c r="M380" s="19" t="s">
        <v>580</v>
      </c>
      <c r="N380" s="7" t="s">
        <v>581</v>
      </c>
    </row>
    <row r="381">
      <c r="A381" s="18">
        <v>45968.0</v>
      </c>
      <c r="B381" s="7" t="s">
        <v>822</v>
      </c>
      <c r="C381" s="21">
        <f>+541127858081</f>
        <v>541127858081</v>
      </c>
      <c r="D381" s="7" t="s">
        <v>823</v>
      </c>
      <c r="E381" s="14" t="s">
        <v>24</v>
      </c>
      <c r="F381" s="14" t="s">
        <v>21</v>
      </c>
      <c r="G381" s="14" t="s">
        <v>18</v>
      </c>
      <c r="H381" s="12" t="s">
        <v>717</v>
      </c>
      <c r="I381" s="7" t="s">
        <v>731</v>
      </c>
      <c r="K381" s="14" t="s">
        <v>578</v>
      </c>
      <c r="L381" s="7" t="s">
        <v>584</v>
      </c>
      <c r="M381" s="19" t="s">
        <v>580</v>
      </c>
      <c r="N381" s="7" t="s">
        <v>581</v>
      </c>
    </row>
    <row r="382">
      <c r="A382" s="18">
        <v>45968.0</v>
      </c>
      <c r="B382" s="12" t="s">
        <v>824</v>
      </c>
      <c r="C382" s="13">
        <f>+543874825433</f>
        <v>543874825433</v>
      </c>
      <c r="D382" s="12" t="s">
        <v>825</v>
      </c>
      <c r="E382" s="14" t="s">
        <v>24</v>
      </c>
      <c r="F382" s="14" t="s">
        <v>21</v>
      </c>
      <c r="G382" s="14" t="s">
        <v>18</v>
      </c>
      <c r="H382" s="12" t="s">
        <v>740</v>
      </c>
      <c r="I382" s="12" t="s">
        <v>780</v>
      </c>
      <c r="J382" s="15"/>
      <c r="K382" s="14" t="s">
        <v>578</v>
      </c>
      <c r="L382" s="12" t="s">
        <v>579</v>
      </c>
      <c r="M382" s="12" t="s">
        <v>580</v>
      </c>
      <c r="N382" s="12" t="s">
        <v>581</v>
      </c>
      <c r="O382" s="15"/>
    </row>
    <row r="383">
      <c r="A383" s="18">
        <v>45968.0</v>
      </c>
      <c r="B383" s="12" t="s">
        <v>826</v>
      </c>
      <c r="C383" s="13">
        <f>+541144068157</f>
        <v>541144068157</v>
      </c>
      <c r="D383" s="12" t="s">
        <v>827</v>
      </c>
      <c r="E383" s="14" t="s">
        <v>24</v>
      </c>
      <c r="F383" s="14" t="s">
        <v>21</v>
      </c>
      <c r="G383" s="14" t="s">
        <v>25</v>
      </c>
      <c r="H383" s="12" t="s">
        <v>740</v>
      </c>
      <c r="I383" s="12" t="s">
        <v>828</v>
      </c>
      <c r="J383" s="15"/>
      <c r="K383" s="14" t="s">
        <v>578</v>
      </c>
      <c r="L383" s="12" t="s">
        <v>584</v>
      </c>
      <c r="M383" s="12" t="s">
        <v>580</v>
      </c>
      <c r="N383" s="12" t="s">
        <v>585</v>
      </c>
      <c r="O383" s="15"/>
    </row>
    <row r="384">
      <c r="A384" s="18">
        <v>45968.0</v>
      </c>
      <c r="B384" s="12" t="s">
        <v>829</v>
      </c>
      <c r="C384" s="13">
        <f>+541141701190</f>
        <v>541141701190</v>
      </c>
      <c r="D384" s="12" t="s">
        <v>830</v>
      </c>
      <c r="E384" s="14" t="s">
        <v>24</v>
      </c>
      <c r="F384" s="14" t="s">
        <v>21</v>
      </c>
      <c r="G384" s="14" t="s">
        <v>18</v>
      </c>
      <c r="H384" s="12" t="s">
        <v>717</v>
      </c>
      <c r="I384" s="12" t="s">
        <v>831</v>
      </c>
      <c r="J384" s="15"/>
      <c r="K384" s="14" t="s">
        <v>578</v>
      </c>
      <c r="L384" s="12" t="s">
        <v>584</v>
      </c>
      <c r="M384" s="12" t="s">
        <v>580</v>
      </c>
      <c r="N384" s="12" t="s">
        <v>585</v>
      </c>
      <c r="O384" s="15"/>
    </row>
    <row r="385">
      <c r="A385" s="18">
        <v>45968.0</v>
      </c>
      <c r="B385" s="12" t="s">
        <v>832</v>
      </c>
      <c r="C385" s="13">
        <f>+541169142360</f>
        <v>541169142360</v>
      </c>
      <c r="D385" s="12" t="s">
        <v>833</v>
      </c>
      <c r="E385" s="14" t="s">
        <v>16</v>
      </c>
      <c r="F385" s="14" t="s">
        <v>21</v>
      </c>
      <c r="G385" s="14" t="s">
        <v>18</v>
      </c>
      <c r="H385" s="12" t="s">
        <v>717</v>
      </c>
      <c r="I385" s="12" t="s">
        <v>731</v>
      </c>
      <c r="J385" s="15"/>
      <c r="K385" s="14" t="s">
        <v>578</v>
      </c>
      <c r="L385" s="12" t="s">
        <v>584</v>
      </c>
      <c r="M385" s="12" t="s">
        <v>580</v>
      </c>
      <c r="N385" s="12" t="s">
        <v>581</v>
      </c>
      <c r="O385" s="15"/>
    </row>
    <row r="386">
      <c r="A386" s="18">
        <v>45968.0</v>
      </c>
      <c r="B386" s="12" t="s">
        <v>834</v>
      </c>
      <c r="C386" s="13">
        <f>+542664962605</f>
        <v>542664962605</v>
      </c>
      <c r="D386" s="12" t="s">
        <v>835</v>
      </c>
      <c r="E386" s="14" t="s">
        <v>16</v>
      </c>
      <c r="F386" s="12" t="s">
        <v>17</v>
      </c>
      <c r="G386" s="14" t="s">
        <v>18</v>
      </c>
      <c r="H386" s="12" t="s">
        <v>740</v>
      </c>
      <c r="I386" s="12" t="s">
        <v>734</v>
      </c>
      <c r="J386" s="15"/>
      <c r="K386" s="14" t="s">
        <v>578</v>
      </c>
      <c r="L386" s="12" t="s">
        <v>579</v>
      </c>
      <c r="M386" s="12" t="s">
        <v>580</v>
      </c>
      <c r="N386" s="12" t="s">
        <v>585</v>
      </c>
      <c r="O386" s="15"/>
    </row>
    <row r="387">
      <c r="A387" s="18">
        <v>45968.0</v>
      </c>
      <c r="B387" s="12" t="s">
        <v>836</v>
      </c>
      <c r="C387" s="13">
        <f>+543446665151</f>
        <v>543446665151</v>
      </c>
      <c r="D387" s="12" t="s">
        <v>837</v>
      </c>
      <c r="E387" s="14" t="s">
        <v>24</v>
      </c>
      <c r="F387" s="14" t="s">
        <v>21</v>
      </c>
      <c r="G387" s="14" t="s">
        <v>18</v>
      </c>
      <c r="H387" s="12" t="s">
        <v>717</v>
      </c>
      <c r="I387" s="12" t="s">
        <v>838</v>
      </c>
      <c r="J387" s="15"/>
      <c r="K387" s="14" t="s">
        <v>578</v>
      </c>
      <c r="L387" s="12" t="s">
        <v>579</v>
      </c>
      <c r="M387" s="12" t="s">
        <v>580</v>
      </c>
      <c r="N387" s="12" t="s">
        <v>581</v>
      </c>
      <c r="O387" s="15"/>
    </row>
    <row r="388">
      <c r="A388" s="18">
        <v>45968.0</v>
      </c>
      <c r="B388" s="12" t="s">
        <v>839</v>
      </c>
      <c r="C388" s="13">
        <f>+543364277893</f>
        <v>543364277893</v>
      </c>
      <c r="D388" s="12" t="s">
        <v>840</v>
      </c>
      <c r="E388" s="12" t="s">
        <v>577</v>
      </c>
      <c r="F388" s="14" t="s">
        <v>21</v>
      </c>
      <c r="G388" s="14" t="s">
        <v>18</v>
      </c>
      <c r="H388" s="12" t="s">
        <v>717</v>
      </c>
      <c r="I388" s="12" t="s">
        <v>767</v>
      </c>
      <c r="J388" s="15"/>
      <c r="K388" s="14" t="s">
        <v>578</v>
      </c>
      <c r="L388" s="12" t="s">
        <v>579</v>
      </c>
      <c r="M388" s="12" t="s">
        <v>580</v>
      </c>
      <c r="N388" s="12" t="s">
        <v>581</v>
      </c>
      <c r="O388" s="15"/>
    </row>
    <row r="389">
      <c r="A389" s="18">
        <v>45968.0</v>
      </c>
      <c r="B389" s="12" t="s">
        <v>841</v>
      </c>
      <c r="C389" s="13">
        <f>+543424448481</f>
        <v>543424448481</v>
      </c>
      <c r="D389" s="12" t="s">
        <v>158</v>
      </c>
      <c r="E389" s="14" t="s">
        <v>24</v>
      </c>
      <c r="F389" s="14" t="s">
        <v>21</v>
      </c>
      <c r="G389" s="14" t="s">
        <v>18</v>
      </c>
      <c r="H389" s="12" t="s">
        <v>717</v>
      </c>
      <c r="I389" s="12" t="s">
        <v>842</v>
      </c>
      <c r="J389" s="15"/>
      <c r="K389" s="14" t="s">
        <v>578</v>
      </c>
      <c r="L389" s="12" t="s">
        <v>579</v>
      </c>
      <c r="M389" s="12" t="s">
        <v>580</v>
      </c>
      <c r="N389" s="12" t="s">
        <v>585</v>
      </c>
      <c r="O389" s="15"/>
    </row>
    <row r="390">
      <c r="A390" s="18">
        <v>45968.0</v>
      </c>
      <c r="B390" s="12" t="s">
        <v>843</v>
      </c>
      <c r="C390" s="13">
        <f>+542995558177</f>
        <v>542995558177</v>
      </c>
      <c r="D390" s="12" t="s">
        <v>844</v>
      </c>
      <c r="E390" s="12" t="s">
        <v>577</v>
      </c>
      <c r="F390" s="14" t="s">
        <v>21</v>
      </c>
      <c r="G390" s="14" t="s">
        <v>25</v>
      </c>
      <c r="H390" s="12" t="s">
        <v>717</v>
      </c>
      <c r="I390" s="12" t="s">
        <v>818</v>
      </c>
      <c r="J390" s="15"/>
      <c r="K390" s="14" t="s">
        <v>578</v>
      </c>
      <c r="L390" s="12" t="s">
        <v>579</v>
      </c>
      <c r="M390" s="12" t="s">
        <v>580</v>
      </c>
      <c r="N390" s="12" t="s">
        <v>585</v>
      </c>
      <c r="O390" s="15"/>
    </row>
    <row r="391">
      <c r="A391" s="18">
        <v>45968.0</v>
      </c>
      <c r="B391" s="12" t="s">
        <v>845</v>
      </c>
      <c r="C391" s="13">
        <f>+541121672050</f>
        <v>541121672050</v>
      </c>
      <c r="D391" s="12" t="s">
        <v>846</v>
      </c>
      <c r="E391" s="14" t="s">
        <v>16</v>
      </c>
      <c r="F391" s="14" t="s">
        <v>21</v>
      </c>
      <c r="G391" s="14" t="s">
        <v>18</v>
      </c>
      <c r="H391" s="12" t="s">
        <v>740</v>
      </c>
      <c r="I391" s="12" t="s">
        <v>734</v>
      </c>
      <c r="J391" s="15"/>
      <c r="K391" s="14" t="s">
        <v>578</v>
      </c>
      <c r="L391" s="12" t="s">
        <v>584</v>
      </c>
      <c r="M391" s="12" t="s">
        <v>580</v>
      </c>
      <c r="N391" s="12" t="s">
        <v>585</v>
      </c>
      <c r="O391" s="15"/>
    </row>
    <row r="392">
      <c r="A392" s="18">
        <v>45969.0</v>
      </c>
      <c r="B392" s="12" t="s">
        <v>847</v>
      </c>
      <c r="C392" s="13">
        <f>+542983585872</f>
        <v>542983585872</v>
      </c>
      <c r="D392" s="12" t="s">
        <v>848</v>
      </c>
      <c r="E392" s="12" t="s">
        <v>577</v>
      </c>
      <c r="F392" s="14" t="s">
        <v>21</v>
      </c>
      <c r="G392" s="14" t="s">
        <v>18</v>
      </c>
      <c r="H392" s="12" t="s">
        <v>717</v>
      </c>
      <c r="I392" s="12" t="s">
        <v>849</v>
      </c>
      <c r="J392" s="15"/>
      <c r="K392" s="14" t="s">
        <v>578</v>
      </c>
      <c r="L392" s="12" t="s">
        <v>579</v>
      </c>
      <c r="M392" s="12" t="s">
        <v>580</v>
      </c>
      <c r="N392" s="12" t="s">
        <v>585</v>
      </c>
      <c r="O392" s="15"/>
    </row>
    <row r="393">
      <c r="A393" s="18">
        <v>45969.0</v>
      </c>
      <c r="B393" s="12" t="s">
        <v>850</v>
      </c>
      <c r="C393" s="13">
        <f>+541125751605</f>
        <v>541125751605</v>
      </c>
      <c r="D393" s="12" t="s">
        <v>851</v>
      </c>
      <c r="E393" s="12" t="s">
        <v>577</v>
      </c>
      <c r="F393" s="12" t="s">
        <v>17</v>
      </c>
      <c r="G393" s="14" t="s">
        <v>18</v>
      </c>
      <c r="H393" s="12" t="s">
        <v>717</v>
      </c>
      <c r="I393" s="12" t="s">
        <v>852</v>
      </c>
      <c r="J393" s="15"/>
      <c r="K393" s="14" t="s">
        <v>578</v>
      </c>
      <c r="L393" s="12" t="s">
        <v>584</v>
      </c>
      <c r="M393" s="12" t="s">
        <v>580</v>
      </c>
      <c r="N393" s="12" t="s">
        <v>581</v>
      </c>
      <c r="O393" s="15"/>
    </row>
    <row r="394">
      <c r="A394" s="18">
        <v>45969.0</v>
      </c>
      <c r="B394" s="12" t="s">
        <v>853</v>
      </c>
      <c r="C394" s="13">
        <f>+5492984343420</f>
        <v>5492984343420</v>
      </c>
      <c r="D394" s="12" t="s">
        <v>854</v>
      </c>
      <c r="E394" s="14" t="s">
        <v>16</v>
      </c>
      <c r="F394" s="14" t="s">
        <v>21</v>
      </c>
      <c r="G394" s="14" t="s">
        <v>18</v>
      </c>
      <c r="H394" s="12" t="s">
        <v>740</v>
      </c>
      <c r="I394" s="12" t="s">
        <v>855</v>
      </c>
      <c r="J394" s="15"/>
      <c r="K394" s="14" t="s">
        <v>578</v>
      </c>
      <c r="L394" s="12" t="s">
        <v>579</v>
      </c>
      <c r="M394" s="12" t="s">
        <v>580</v>
      </c>
      <c r="N394" s="12" t="s">
        <v>581</v>
      </c>
      <c r="O394" s="15"/>
    </row>
    <row r="395">
      <c r="A395" s="18">
        <v>45969.0</v>
      </c>
      <c r="B395" s="12" t="s">
        <v>856</v>
      </c>
      <c r="C395" s="13">
        <f>+542995516979</f>
        <v>542995516979</v>
      </c>
      <c r="D395" s="12" t="s">
        <v>857</v>
      </c>
      <c r="E395" s="12" t="s">
        <v>577</v>
      </c>
      <c r="F395" s="14" t="s">
        <v>21</v>
      </c>
      <c r="G395" s="14" t="s">
        <v>25</v>
      </c>
      <c r="H395" s="12" t="s">
        <v>717</v>
      </c>
      <c r="I395" s="12" t="s">
        <v>858</v>
      </c>
      <c r="J395" s="15"/>
      <c r="K395" s="14" t="s">
        <v>578</v>
      </c>
      <c r="L395" s="12" t="s">
        <v>579</v>
      </c>
      <c r="M395" s="12" t="s">
        <v>580</v>
      </c>
      <c r="N395" s="12" t="s">
        <v>585</v>
      </c>
      <c r="O395" s="15"/>
    </row>
    <row r="396">
      <c r="A396" s="18">
        <v>45969.0</v>
      </c>
      <c r="B396" s="12" t="s">
        <v>859</v>
      </c>
      <c r="C396" s="13">
        <f>+543546436250</f>
        <v>543546436250</v>
      </c>
      <c r="D396" s="12" t="s">
        <v>860</v>
      </c>
      <c r="E396" s="12" t="s">
        <v>577</v>
      </c>
      <c r="F396" s="14" t="s">
        <v>21</v>
      </c>
      <c r="G396" s="14" t="s">
        <v>25</v>
      </c>
      <c r="H396" s="12" t="s">
        <v>717</v>
      </c>
      <c r="I396" s="12" t="s">
        <v>852</v>
      </c>
      <c r="J396" s="15"/>
      <c r="K396" s="14" t="s">
        <v>578</v>
      </c>
      <c r="L396" s="12" t="s">
        <v>579</v>
      </c>
      <c r="M396" s="12" t="s">
        <v>580</v>
      </c>
      <c r="N396" s="12" t="s">
        <v>581</v>
      </c>
      <c r="O396" s="15"/>
    </row>
    <row r="397">
      <c r="A397" s="18">
        <v>45969.0</v>
      </c>
      <c r="B397" s="12" t="s">
        <v>861</v>
      </c>
      <c r="C397" s="13">
        <f>+543515397401</f>
        <v>543515397401</v>
      </c>
      <c r="D397" s="12" t="s">
        <v>862</v>
      </c>
      <c r="E397" s="14" t="s">
        <v>24</v>
      </c>
      <c r="F397" s="14" t="s">
        <v>21</v>
      </c>
      <c r="G397" s="14" t="s">
        <v>18</v>
      </c>
      <c r="H397" s="12" t="s">
        <v>727</v>
      </c>
      <c r="I397" s="12" t="s">
        <v>863</v>
      </c>
      <c r="J397" s="15"/>
      <c r="K397" s="14" t="s">
        <v>578</v>
      </c>
      <c r="L397" s="12" t="s">
        <v>579</v>
      </c>
      <c r="M397" s="12" t="s">
        <v>580</v>
      </c>
      <c r="N397" s="12" t="s">
        <v>581</v>
      </c>
      <c r="O397" s="15"/>
    </row>
    <row r="398">
      <c r="A398" s="18">
        <v>45969.0</v>
      </c>
      <c r="B398" s="12" t="s">
        <v>864</v>
      </c>
      <c r="C398" s="13">
        <f>+543401400594</f>
        <v>543401400594</v>
      </c>
      <c r="D398" s="12" t="s">
        <v>865</v>
      </c>
      <c r="E398" s="14" t="s">
        <v>16</v>
      </c>
      <c r="F398" s="14" t="s">
        <v>21</v>
      </c>
      <c r="G398" s="14" t="s">
        <v>25</v>
      </c>
      <c r="H398" s="12" t="s">
        <v>740</v>
      </c>
      <c r="I398" s="12" t="s">
        <v>731</v>
      </c>
      <c r="J398" s="15"/>
      <c r="K398" s="14" t="s">
        <v>578</v>
      </c>
      <c r="L398" s="12" t="s">
        <v>584</v>
      </c>
      <c r="M398" s="12" t="s">
        <v>580</v>
      </c>
      <c r="N398" s="12" t="s">
        <v>585</v>
      </c>
      <c r="O398" s="15"/>
    </row>
    <row r="399">
      <c r="A399" s="18">
        <v>45969.0</v>
      </c>
      <c r="B399" s="12" t="s">
        <v>866</v>
      </c>
      <c r="C399" s="13">
        <f>+541159124392</f>
        <v>541159124392</v>
      </c>
      <c r="D399" s="12" t="s">
        <v>867</v>
      </c>
      <c r="E399" s="14" t="s">
        <v>24</v>
      </c>
      <c r="F399" s="14" t="s">
        <v>21</v>
      </c>
      <c r="G399" s="14" t="s">
        <v>18</v>
      </c>
      <c r="H399" s="12" t="s">
        <v>717</v>
      </c>
      <c r="I399" s="12" t="s">
        <v>868</v>
      </c>
      <c r="J399" s="15"/>
      <c r="K399" s="14" t="s">
        <v>578</v>
      </c>
      <c r="L399" s="12" t="s">
        <v>584</v>
      </c>
      <c r="M399" s="12" t="s">
        <v>580</v>
      </c>
      <c r="N399" s="12" t="s">
        <v>585</v>
      </c>
      <c r="O399" s="15"/>
    </row>
    <row r="400">
      <c r="A400" s="18">
        <v>45970.0</v>
      </c>
      <c r="B400" s="12" t="s">
        <v>869</v>
      </c>
      <c r="C400" s="13">
        <f>+543813559506</f>
        <v>543813559506</v>
      </c>
      <c r="D400" s="12" t="s">
        <v>870</v>
      </c>
      <c r="E400" s="14" t="s">
        <v>16</v>
      </c>
      <c r="F400" s="14" t="s">
        <v>32</v>
      </c>
      <c r="G400" s="14" t="s">
        <v>18</v>
      </c>
      <c r="H400" s="12" t="s">
        <v>740</v>
      </c>
      <c r="I400" s="12" t="s">
        <v>871</v>
      </c>
      <c r="J400" s="15"/>
      <c r="K400" s="14" t="s">
        <v>578</v>
      </c>
      <c r="L400" s="12" t="s">
        <v>579</v>
      </c>
      <c r="M400" s="12" t="s">
        <v>580</v>
      </c>
      <c r="N400" s="12" t="s">
        <v>581</v>
      </c>
      <c r="O400" s="15"/>
    </row>
    <row r="401">
      <c r="A401" s="18">
        <v>45970.0</v>
      </c>
      <c r="B401" s="12" t="s">
        <v>872</v>
      </c>
      <c r="C401" s="13">
        <f>+541159543465</f>
        <v>541159543465</v>
      </c>
      <c r="D401" s="12" t="s">
        <v>873</v>
      </c>
      <c r="E401" s="14" t="s">
        <v>24</v>
      </c>
      <c r="F401" s="14" t="s">
        <v>21</v>
      </c>
      <c r="G401" s="14" t="s">
        <v>25</v>
      </c>
      <c r="H401" s="12" t="s">
        <v>717</v>
      </c>
      <c r="I401" s="12" t="s">
        <v>874</v>
      </c>
      <c r="J401" s="15"/>
      <c r="K401" s="14" t="s">
        <v>578</v>
      </c>
      <c r="L401" s="12" t="s">
        <v>584</v>
      </c>
      <c r="M401" s="12" t="s">
        <v>580</v>
      </c>
      <c r="N401" s="12" t="s">
        <v>585</v>
      </c>
      <c r="O401" s="15"/>
    </row>
    <row r="402">
      <c r="A402" s="18">
        <v>45970.0</v>
      </c>
      <c r="B402" s="12" t="s">
        <v>875</v>
      </c>
      <c r="C402" s="13">
        <f>+541136504648</f>
        <v>541136504648</v>
      </c>
      <c r="D402" s="12" t="s">
        <v>876</v>
      </c>
      <c r="E402" s="14" t="s">
        <v>24</v>
      </c>
      <c r="F402" s="14" t="s">
        <v>21</v>
      </c>
      <c r="G402" s="14" t="s">
        <v>18</v>
      </c>
      <c r="H402" s="12" t="s">
        <v>717</v>
      </c>
      <c r="I402" s="12" t="s">
        <v>749</v>
      </c>
      <c r="J402" s="15"/>
      <c r="K402" s="14" t="s">
        <v>578</v>
      </c>
      <c r="L402" s="12" t="s">
        <v>584</v>
      </c>
      <c r="M402" s="12" t="s">
        <v>580</v>
      </c>
      <c r="N402" s="12" t="s">
        <v>581</v>
      </c>
      <c r="O402" s="15"/>
    </row>
    <row r="403">
      <c r="A403" s="18">
        <v>45970.0</v>
      </c>
      <c r="B403" s="12" t="s">
        <v>877</v>
      </c>
      <c r="C403" s="13">
        <f>+542996561533</f>
        <v>542996561533</v>
      </c>
      <c r="D403" s="12" t="s">
        <v>878</v>
      </c>
      <c r="E403" s="14" t="s">
        <v>24</v>
      </c>
      <c r="F403" s="12" t="s">
        <v>17</v>
      </c>
      <c r="G403" s="14" t="s">
        <v>18</v>
      </c>
      <c r="H403" s="12" t="s">
        <v>717</v>
      </c>
      <c r="I403" s="12" t="s">
        <v>879</v>
      </c>
      <c r="J403" s="15"/>
      <c r="K403" s="14" t="s">
        <v>578</v>
      </c>
      <c r="L403" s="12" t="s">
        <v>579</v>
      </c>
      <c r="M403" s="12" t="s">
        <v>580</v>
      </c>
      <c r="N403" s="12" t="s">
        <v>581</v>
      </c>
      <c r="O403" s="15"/>
    </row>
    <row r="404">
      <c r="A404" s="18">
        <v>45970.0</v>
      </c>
      <c r="B404" s="12" t="s">
        <v>701</v>
      </c>
      <c r="C404" s="13">
        <f>+542984862445</f>
        <v>542984862445</v>
      </c>
      <c r="D404" s="12" t="s">
        <v>702</v>
      </c>
      <c r="E404" s="14" t="s">
        <v>16</v>
      </c>
      <c r="F404" s="14" t="s">
        <v>32</v>
      </c>
      <c r="G404" s="14" t="s">
        <v>25</v>
      </c>
      <c r="H404" s="12" t="s">
        <v>740</v>
      </c>
      <c r="I404" s="12" t="s">
        <v>801</v>
      </c>
      <c r="J404" s="15"/>
      <c r="K404" s="14" t="s">
        <v>578</v>
      </c>
      <c r="L404" s="12" t="s">
        <v>584</v>
      </c>
      <c r="M404" s="12" t="s">
        <v>580</v>
      </c>
      <c r="N404" s="12" t="s">
        <v>585</v>
      </c>
      <c r="O404" s="15"/>
    </row>
    <row r="405">
      <c r="A405" s="18">
        <v>45971.0</v>
      </c>
      <c r="B405" s="9" t="s">
        <v>880</v>
      </c>
      <c r="C405" s="10">
        <f>+543756616706</f>
        <v>543756616706</v>
      </c>
      <c r="D405" s="9" t="s">
        <v>881</v>
      </c>
      <c r="E405" s="9" t="s">
        <v>577</v>
      </c>
      <c r="F405" s="14" t="s">
        <v>21</v>
      </c>
      <c r="G405" s="14" t="s">
        <v>25</v>
      </c>
      <c r="H405" s="12" t="s">
        <v>717</v>
      </c>
      <c r="I405" s="9" t="s">
        <v>882</v>
      </c>
      <c r="J405" s="15"/>
      <c r="K405" s="14" t="s">
        <v>578</v>
      </c>
      <c r="L405" s="9" t="s">
        <v>579</v>
      </c>
      <c r="M405" s="9" t="s">
        <v>580</v>
      </c>
      <c r="N405" s="9" t="s">
        <v>585</v>
      </c>
      <c r="O405" s="15"/>
    </row>
    <row r="406">
      <c r="A406" s="18">
        <v>45971.0</v>
      </c>
      <c r="B406" s="9" t="s">
        <v>883</v>
      </c>
      <c r="C406" s="10">
        <f>+541135663790</f>
        <v>541135663790</v>
      </c>
      <c r="D406" s="9" t="s">
        <v>884</v>
      </c>
      <c r="E406" s="9" t="s">
        <v>577</v>
      </c>
      <c r="F406" s="12" t="s">
        <v>17</v>
      </c>
      <c r="G406" s="14" t="s">
        <v>18</v>
      </c>
      <c r="H406" s="12" t="s">
        <v>727</v>
      </c>
      <c r="I406" s="9" t="s">
        <v>885</v>
      </c>
      <c r="J406" s="15"/>
      <c r="K406" s="14" t="s">
        <v>578</v>
      </c>
      <c r="L406" s="9" t="s">
        <v>584</v>
      </c>
      <c r="M406" s="9" t="s">
        <v>580</v>
      </c>
      <c r="N406" s="9" t="s">
        <v>581</v>
      </c>
      <c r="O406" s="15"/>
    </row>
    <row r="407">
      <c r="A407" s="18">
        <v>45971.0</v>
      </c>
      <c r="B407" s="9" t="s">
        <v>886</v>
      </c>
      <c r="C407" s="10">
        <f>+542396440700</f>
        <v>542396440700</v>
      </c>
      <c r="D407" s="9" t="s">
        <v>887</v>
      </c>
      <c r="E407" s="9" t="s">
        <v>577</v>
      </c>
      <c r="F407" s="14" t="s">
        <v>21</v>
      </c>
      <c r="G407" s="14" t="s">
        <v>25</v>
      </c>
      <c r="H407" s="12" t="s">
        <v>717</v>
      </c>
      <c r="I407" s="9" t="s">
        <v>888</v>
      </c>
      <c r="J407" s="15"/>
      <c r="K407" s="14" t="s">
        <v>578</v>
      </c>
      <c r="L407" s="9" t="s">
        <v>579</v>
      </c>
      <c r="M407" s="9" t="s">
        <v>580</v>
      </c>
      <c r="N407" s="9" t="s">
        <v>581</v>
      </c>
      <c r="O407" s="15"/>
    </row>
    <row r="408">
      <c r="A408" s="18">
        <v>45971.0</v>
      </c>
      <c r="B408" s="9" t="s">
        <v>889</v>
      </c>
      <c r="C408" s="10">
        <f>+543413431421</f>
        <v>543413431421</v>
      </c>
      <c r="D408" s="9" t="s">
        <v>890</v>
      </c>
      <c r="E408" s="14" t="s">
        <v>24</v>
      </c>
      <c r="F408" s="14" t="s">
        <v>21</v>
      </c>
      <c r="G408" s="14" t="s">
        <v>18</v>
      </c>
      <c r="H408" s="12" t="s">
        <v>717</v>
      </c>
      <c r="I408" s="9" t="s">
        <v>734</v>
      </c>
      <c r="J408" s="15"/>
      <c r="K408" s="14" t="s">
        <v>578</v>
      </c>
      <c r="L408" s="9" t="s">
        <v>579</v>
      </c>
      <c r="M408" s="9" t="s">
        <v>580</v>
      </c>
      <c r="N408" s="9" t="s">
        <v>585</v>
      </c>
      <c r="O408" s="15"/>
    </row>
    <row r="409">
      <c r="A409" s="18">
        <v>45971.0</v>
      </c>
      <c r="B409" s="9" t="s">
        <v>891</v>
      </c>
      <c r="C409" s="10">
        <f>+543804592090</f>
        <v>543804592090</v>
      </c>
      <c r="D409" s="9" t="s">
        <v>892</v>
      </c>
      <c r="E409" s="9" t="s">
        <v>577</v>
      </c>
      <c r="F409" s="14" t="s">
        <v>21</v>
      </c>
      <c r="G409" s="14" t="s">
        <v>18</v>
      </c>
      <c r="H409" s="12" t="s">
        <v>717</v>
      </c>
      <c r="I409" s="9" t="s">
        <v>893</v>
      </c>
      <c r="K409" s="14" t="s">
        <v>578</v>
      </c>
      <c r="L409" s="9" t="s">
        <v>579</v>
      </c>
      <c r="M409" s="9" t="s">
        <v>580</v>
      </c>
      <c r="N409" s="9" t="s">
        <v>585</v>
      </c>
    </row>
    <row r="410">
      <c r="A410" s="18">
        <v>45971.0</v>
      </c>
      <c r="B410" s="9" t="s">
        <v>894</v>
      </c>
      <c r="C410" s="10">
        <f>+543537310076</f>
        <v>543537310076</v>
      </c>
      <c r="D410" s="9" t="s">
        <v>895</v>
      </c>
      <c r="E410" s="9" t="s">
        <v>577</v>
      </c>
      <c r="F410" s="12" t="s">
        <v>17</v>
      </c>
      <c r="G410" s="14" t="s">
        <v>18</v>
      </c>
      <c r="H410" s="12" t="s">
        <v>717</v>
      </c>
      <c r="I410" s="9" t="s">
        <v>731</v>
      </c>
      <c r="K410" s="14" t="s">
        <v>578</v>
      </c>
      <c r="L410" s="9" t="s">
        <v>579</v>
      </c>
      <c r="M410" s="9" t="s">
        <v>580</v>
      </c>
      <c r="N410" s="9" t="s">
        <v>585</v>
      </c>
    </row>
    <row r="411">
      <c r="A411" s="18">
        <v>45971.0</v>
      </c>
      <c r="B411" s="9" t="s">
        <v>896</v>
      </c>
      <c r="C411" s="10">
        <f>+541126811412</f>
        <v>541126811412</v>
      </c>
      <c r="D411" s="9" t="s">
        <v>897</v>
      </c>
      <c r="E411" s="14" t="s">
        <v>16</v>
      </c>
      <c r="F411" s="14" t="s">
        <v>21</v>
      </c>
      <c r="G411" s="14" t="s">
        <v>18</v>
      </c>
      <c r="H411" s="12" t="s">
        <v>745</v>
      </c>
      <c r="I411" s="9" t="s">
        <v>898</v>
      </c>
      <c r="K411" s="14" t="s">
        <v>578</v>
      </c>
      <c r="L411" s="9" t="s">
        <v>584</v>
      </c>
      <c r="M411" s="9" t="s">
        <v>580</v>
      </c>
      <c r="N411" s="9" t="s">
        <v>585</v>
      </c>
    </row>
    <row r="412">
      <c r="A412" s="18">
        <v>45971.0</v>
      </c>
      <c r="B412" s="9" t="s">
        <v>899</v>
      </c>
      <c r="C412" s="10">
        <f>+543756611230</f>
        <v>543756611230</v>
      </c>
      <c r="D412" s="9" t="s">
        <v>900</v>
      </c>
      <c r="E412" s="14" t="s">
        <v>16</v>
      </c>
      <c r="F412" s="14" t="s">
        <v>21</v>
      </c>
      <c r="G412" s="14" t="s">
        <v>25</v>
      </c>
      <c r="H412" s="12" t="s">
        <v>740</v>
      </c>
      <c r="I412" s="9" t="s">
        <v>855</v>
      </c>
      <c r="K412" s="14" t="s">
        <v>578</v>
      </c>
      <c r="L412" s="9" t="s">
        <v>579</v>
      </c>
      <c r="M412" s="9" t="s">
        <v>580</v>
      </c>
      <c r="N412" s="9" t="s">
        <v>581</v>
      </c>
    </row>
    <row r="413">
      <c r="A413" s="18">
        <v>45971.0</v>
      </c>
      <c r="B413" s="9" t="s">
        <v>901</v>
      </c>
      <c r="C413" s="10">
        <f>+5492281681810</f>
        <v>5492281681810</v>
      </c>
      <c r="D413" s="9" t="s">
        <v>902</v>
      </c>
      <c r="E413" s="9" t="s">
        <v>577</v>
      </c>
      <c r="F413" s="14" t="s">
        <v>21</v>
      </c>
      <c r="G413" s="14" t="s">
        <v>18</v>
      </c>
      <c r="H413" s="12" t="s">
        <v>717</v>
      </c>
      <c r="I413" s="9" t="s">
        <v>731</v>
      </c>
      <c r="K413" s="14" t="s">
        <v>578</v>
      </c>
      <c r="L413" s="9" t="s">
        <v>579</v>
      </c>
      <c r="M413" s="9" t="s">
        <v>580</v>
      </c>
      <c r="N413" s="9" t="s">
        <v>585</v>
      </c>
    </row>
    <row r="414">
      <c r="A414" s="18">
        <v>45971.0</v>
      </c>
      <c r="B414" s="9" t="s">
        <v>903</v>
      </c>
      <c r="C414" s="10">
        <f>+541131095214</f>
        <v>541131095214</v>
      </c>
      <c r="D414" s="9" t="s">
        <v>904</v>
      </c>
      <c r="E414" s="14" t="s">
        <v>16</v>
      </c>
      <c r="F414" s="14" t="s">
        <v>21</v>
      </c>
      <c r="G414" s="14" t="s">
        <v>18</v>
      </c>
      <c r="H414" s="12" t="s">
        <v>740</v>
      </c>
      <c r="I414" s="9" t="s">
        <v>759</v>
      </c>
      <c r="K414" s="14" t="s">
        <v>578</v>
      </c>
      <c r="L414" s="9" t="s">
        <v>584</v>
      </c>
      <c r="M414" s="9" t="s">
        <v>580</v>
      </c>
      <c r="N414" s="9" t="s">
        <v>585</v>
      </c>
    </row>
    <row r="415">
      <c r="A415" s="18">
        <v>45971.0</v>
      </c>
      <c r="B415" s="9" t="s">
        <v>905</v>
      </c>
      <c r="C415" s="10">
        <f>+541125204247</f>
        <v>541125204247</v>
      </c>
      <c r="D415" s="9" t="s">
        <v>906</v>
      </c>
      <c r="E415" s="14" t="s">
        <v>24</v>
      </c>
      <c r="F415" s="14" t="s">
        <v>21</v>
      </c>
      <c r="G415" s="14" t="s">
        <v>18</v>
      </c>
      <c r="H415" s="12" t="s">
        <v>717</v>
      </c>
      <c r="I415" s="9" t="s">
        <v>907</v>
      </c>
      <c r="K415" s="14" t="s">
        <v>578</v>
      </c>
      <c r="L415" s="9" t="s">
        <v>584</v>
      </c>
      <c r="M415" s="9" t="s">
        <v>580</v>
      </c>
      <c r="N415" s="9" t="s">
        <v>585</v>
      </c>
    </row>
    <row r="416">
      <c r="A416" s="18">
        <v>45971.0</v>
      </c>
      <c r="B416" s="9" t="s">
        <v>908</v>
      </c>
      <c r="C416" s="10">
        <f>+5492915764374</f>
        <v>5492915764374</v>
      </c>
      <c r="D416" s="9" t="s">
        <v>909</v>
      </c>
      <c r="E416" s="14" t="s">
        <v>24</v>
      </c>
      <c r="F416" s="14" t="s">
        <v>21</v>
      </c>
      <c r="G416" s="14" t="s">
        <v>18</v>
      </c>
      <c r="H416" s="12" t="s">
        <v>717</v>
      </c>
      <c r="I416" s="9" t="s">
        <v>910</v>
      </c>
      <c r="K416" s="14" t="s">
        <v>578</v>
      </c>
      <c r="L416" s="9" t="s">
        <v>579</v>
      </c>
      <c r="M416" s="9" t="s">
        <v>624</v>
      </c>
      <c r="N416" s="9" t="s">
        <v>585</v>
      </c>
    </row>
    <row r="417">
      <c r="A417" s="18">
        <v>45971.0</v>
      </c>
      <c r="B417" s="9" t="s">
        <v>911</v>
      </c>
      <c r="C417" s="10">
        <f>+542616040888</f>
        <v>542616040888</v>
      </c>
      <c r="D417" s="9" t="s">
        <v>912</v>
      </c>
      <c r="E417" s="14" t="s">
        <v>16</v>
      </c>
      <c r="F417" s="14" t="s">
        <v>21</v>
      </c>
      <c r="G417" s="14" t="s">
        <v>18</v>
      </c>
      <c r="H417" s="12" t="s">
        <v>727</v>
      </c>
      <c r="I417" s="9" t="s">
        <v>855</v>
      </c>
      <c r="K417" s="14" t="s">
        <v>578</v>
      </c>
      <c r="L417" s="9" t="s">
        <v>579</v>
      </c>
      <c r="M417" s="9" t="s">
        <v>580</v>
      </c>
      <c r="N417" s="9" t="s">
        <v>581</v>
      </c>
    </row>
    <row r="418">
      <c r="A418" s="18">
        <v>45971.0</v>
      </c>
      <c r="B418" s="9" t="s">
        <v>913</v>
      </c>
      <c r="C418" s="10">
        <f>+542995713763</f>
        <v>542995713763</v>
      </c>
      <c r="D418" s="9" t="s">
        <v>914</v>
      </c>
      <c r="E418" s="14" t="s">
        <v>24</v>
      </c>
      <c r="F418" s="14" t="s">
        <v>21</v>
      </c>
      <c r="G418" s="14" t="s">
        <v>25</v>
      </c>
      <c r="H418" s="12" t="s">
        <v>740</v>
      </c>
      <c r="I418" s="9" t="s">
        <v>855</v>
      </c>
      <c r="K418" s="14" t="s">
        <v>578</v>
      </c>
      <c r="L418" s="9" t="s">
        <v>584</v>
      </c>
      <c r="M418" s="9" t="s">
        <v>580</v>
      </c>
      <c r="N418" s="9" t="s">
        <v>581</v>
      </c>
    </row>
    <row r="419">
      <c r="A419" s="18">
        <v>45971.0</v>
      </c>
      <c r="B419" s="9" t="s">
        <v>915</v>
      </c>
      <c r="C419" s="10">
        <f>+543487685270</f>
        <v>543487685270</v>
      </c>
      <c r="D419" s="9" t="s">
        <v>916</v>
      </c>
      <c r="E419" s="14" t="s">
        <v>24</v>
      </c>
      <c r="F419" s="14" t="s">
        <v>21</v>
      </c>
      <c r="G419" s="14" t="s">
        <v>18</v>
      </c>
      <c r="H419" s="12" t="s">
        <v>740</v>
      </c>
      <c r="I419" s="9" t="s">
        <v>917</v>
      </c>
      <c r="K419" s="14" t="s">
        <v>578</v>
      </c>
      <c r="L419" s="9" t="s">
        <v>584</v>
      </c>
      <c r="M419" s="9" t="s">
        <v>580</v>
      </c>
      <c r="N419" s="9" t="s">
        <v>581</v>
      </c>
    </row>
    <row r="420">
      <c r="A420" s="18">
        <v>45972.0</v>
      </c>
      <c r="B420" s="9" t="s">
        <v>918</v>
      </c>
      <c r="C420" s="10">
        <f>+543492267107</f>
        <v>543492267107</v>
      </c>
      <c r="D420" s="9" t="s">
        <v>919</v>
      </c>
      <c r="E420" s="14" t="s">
        <v>24</v>
      </c>
      <c r="F420" s="14" t="s">
        <v>21</v>
      </c>
      <c r="G420" s="14" t="s">
        <v>18</v>
      </c>
      <c r="H420" s="12" t="s">
        <v>717</v>
      </c>
      <c r="I420" s="9" t="s">
        <v>920</v>
      </c>
      <c r="K420" s="14" t="s">
        <v>578</v>
      </c>
      <c r="L420" s="9" t="s">
        <v>579</v>
      </c>
      <c r="M420" s="9" t="s">
        <v>580</v>
      </c>
      <c r="N420" s="9" t="s">
        <v>585</v>
      </c>
    </row>
    <row r="421">
      <c r="A421" s="18">
        <v>45972.0</v>
      </c>
      <c r="B421" s="9" t="s">
        <v>921</v>
      </c>
      <c r="C421" s="10">
        <f>+543416082956</f>
        <v>543416082956</v>
      </c>
      <c r="D421" s="9" t="s">
        <v>922</v>
      </c>
      <c r="E421" s="9" t="s">
        <v>577</v>
      </c>
      <c r="F421" s="14" t="s">
        <v>21</v>
      </c>
      <c r="G421" s="14" t="s">
        <v>25</v>
      </c>
      <c r="H421" s="12" t="s">
        <v>717</v>
      </c>
      <c r="I421" s="9" t="s">
        <v>731</v>
      </c>
      <c r="K421" s="14" t="s">
        <v>578</v>
      </c>
      <c r="L421" s="9" t="s">
        <v>579</v>
      </c>
      <c r="M421" s="9" t="s">
        <v>580</v>
      </c>
      <c r="N421" s="9" t="s">
        <v>581</v>
      </c>
    </row>
    <row r="422">
      <c r="A422" s="18">
        <v>45972.0</v>
      </c>
      <c r="B422" s="9" t="s">
        <v>923</v>
      </c>
      <c r="C422" s="10">
        <f>+543521649957</f>
        <v>543521649957</v>
      </c>
      <c r="D422" s="9" t="s">
        <v>924</v>
      </c>
      <c r="E422" s="14" t="s">
        <v>16</v>
      </c>
      <c r="F422" s="14" t="s">
        <v>21</v>
      </c>
      <c r="G422" s="14" t="s">
        <v>25</v>
      </c>
      <c r="H422" s="12" t="s">
        <v>740</v>
      </c>
      <c r="I422" s="9" t="s">
        <v>925</v>
      </c>
      <c r="K422" s="14" t="s">
        <v>578</v>
      </c>
      <c r="L422" s="9" t="s">
        <v>579</v>
      </c>
      <c r="M422" s="9" t="s">
        <v>580</v>
      </c>
      <c r="N422" s="9" t="s">
        <v>585</v>
      </c>
    </row>
    <row r="423">
      <c r="A423" s="18">
        <v>45972.0</v>
      </c>
      <c r="B423" s="9" t="s">
        <v>926</v>
      </c>
      <c r="C423" s="10">
        <f>+541159198848</f>
        <v>541159198848</v>
      </c>
      <c r="D423" s="9" t="s">
        <v>927</v>
      </c>
      <c r="E423" s="14" t="s">
        <v>24</v>
      </c>
      <c r="F423" s="14" t="s">
        <v>32</v>
      </c>
      <c r="G423" s="14" t="s">
        <v>25</v>
      </c>
      <c r="H423" s="12" t="s">
        <v>727</v>
      </c>
      <c r="I423" s="9" t="s">
        <v>718</v>
      </c>
      <c r="K423" s="14" t="s">
        <v>578</v>
      </c>
      <c r="L423" s="9" t="s">
        <v>584</v>
      </c>
      <c r="M423" s="9" t="s">
        <v>580</v>
      </c>
      <c r="N423" s="9" t="s">
        <v>585</v>
      </c>
    </row>
    <row r="424">
      <c r="A424" s="18">
        <v>45972.0</v>
      </c>
      <c r="B424" s="9" t="s">
        <v>928</v>
      </c>
      <c r="C424" s="10">
        <f>+541124481020</f>
        <v>541124481020</v>
      </c>
      <c r="D424" s="9" t="s">
        <v>929</v>
      </c>
      <c r="E424" s="14" t="s">
        <v>16</v>
      </c>
      <c r="F424" s="14" t="s">
        <v>21</v>
      </c>
      <c r="G424" s="14" t="s">
        <v>18</v>
      </c>
      <c r="H424" s="12" t="s">
        <v>717</v>
      </c>
      <c r="I424" s="9" t="s">
        <v>930</v>
      </c>
      <c r="K424" s="14" t="s">
        <v>578</v>
      </c>
      <c r="L424" s="9" t="s">
        <v>584</v>
      </c>
      <c r="M424" s="9" t="s">
        <v>580</v>
      </c>
      <c r="N424" s="9" t="s">
        <v>581</v>
      </c>
    </row>
    <row r="425">
      <c r="A425" s="18">
        <v>45972.0</v>
      </c>
      <c r="B425" s="9" t="s">
        <v>931</v>
      </c>
      <c r="C425" s="10">
        <f>+543413045284</f>
        <v>543413045284</v>
      </c>
      <c r="D425" s="9" t="s">
        <v>932</v>
      </c>
      <c r="E425" s="9" t="s">
        <v>577</v>
      </c>
      <c r="F425" s="14" t="s">
        <v>21</v>
      </c>
      <c r="G425" s="14" t="s">
        <v>25</v>
      </c>
      <c r="H425" s="12" t="s">
        <v>740</v>
      </c>
      <c r="I425" s="9" t="s">
        <v>885</v>
      </c>
      <c r="K425" s="14" t="s">
        <v>578</v>
      </c>
      <c r="L425" s="9" t="s">
        <v>579</v>
      </c>
      <c r="M425" s="9" t="s">
        <v>580</v>
      </c>
      <c r="N425" s="9" t="s">
        <v>581</v>
      </c>
    </row>
    <row r="426">
      <c r="A426" s="18">
        <v>45973.0</v>
      </c>
      <c r="B426" s="9" t="s">
        <v>933</v>
      </c>
      <c r="C426" s="10">
        <f>+543484688706</f>
        <v>543484688706</v>
      </c>
      <c r="D426" s="9" t="s">
        <v>934</v>
      </c>
      <c r="E426" s="9" t="s">
        <v>577</v>
      </c>
      <c r="F426" s="14" t="s">
        <v>21</v>
      </c>
      <c r="G426" s="14" t="s">
        <v>18</v>
      </c>
      <c r="H426" s="12" t="s">
        <v>727</v>
      </c>
      <c r="I426" s="9" t="s">
        <v>885</v>
      </c>
      <c r="K426" s="14" t="s">
        <v>578</v>
      </c>
      <c r="L426" s="9" t="s">
        <v>584</v>
      </c>
      <c r="M426" s="9" t="s">
        <v>580</v>
      </c>
      <c r="N426" s="9" t="s">
        <v>581</v>
      </c>
    </row>
    <row r="427">
      <c r="A427" s="18">
        <v>45973.0</v>
      </c>
      <c r="B427" s="9" t="s">
        <v>935</v>
      </c>
      <c r="C427" s="10">
        <f>+543735468049</f>
        <v>543735468049</v>
      </c>
      <c r="D427" s="9" t="s">
        <v>936</v>
      </c>
      <c r="E427" s="14" t="s">
        <v>16</v>
      </c>
      <c r="F427" s="14" t="s">
        <v>21</v>
      </c>
      <c r="G427" s="14" t="s">
        <v>25</v>
      </c>
      <c r="H427" s="12" t="s">
        <v>717</v>
      </c>
      <c r="I427" s="9" t="s">
        <v>937</v>
      </c>
      <c r="K427" s="14" t="s">
        <v>578</v>
      </c>
      <c r="L427" s="9" t="s">
        <v>579</v>
      </c>
      <c r="M427" s="9" t="s">
        <v>580</v>
      </c>
      <c r="N427" s="9" t="s">
        <v>581</v>
      </c>
    </row>
    <row r="428">
      <c r="A428" s="18">
        <v>45973.0</v>
      </c>
      <c r="B428" s="9" t="s">
        <v>938</v>
      </c>
      <c r="C428" s="10">
        <f>+542213144091</f>
        <v>542213144091</v>
      </c>
      <c r="D428" s="9" t="s">
        <v>939</v>
      </c>
      <c r="E428" s="14" t="s">
        <v>16</v>
      </c>
      <c r="F428" s="14" t="s">
        <v>32</v>
      </c>
      <c r="G428" s="14" t="s">
        <v>25</v>
      </c>
      <c r="H428" s="12" t="s">
        <v>727</v>
      </c>
      <c r="I428" s="9" t="s">
        <v>818</v>
      </c>
      <c r="K428" s="14" t="s">
        <v>578</v>
      </c>
      <c r="L428" s="9" t="s">
        <v>584</v>
      </c>
      <c r="M428" s="9" t="s">
        <v>580</v>
      </c>
      <c r="N428" s="9" t="s">
        <v>585</v>
      </c>
    </row>
    <row r="429">
      <c r="A429" s="18">
        <v>45973.0</v>
      </c>
      <c r="B429" s="9" t="s">
        <v>940</v>
      </c>
      <c r="C429" s="10">
        <f>+543498475542</f>
        <v>543498475542</v>
      </c>
      <c r="D429" s="9" t="s">
        <v>941</v>
      </c>
      <c r="E429" s="14" t="s">
        <v>16</v>
      </c>
      <c r="F429" s="14" t="s">
        <v>21</v>
      </c>
      <c r="G429" s="14" t="s">
        <v>18</v>
      </c>
      <c r="H429" s="12" t="s">
        <v>740</v>
      </c>
      <c r="I429" s="9" t="s">
        <v>818</v>
      </c>
      <c r="K429" s="14" t="s">
        <v>578</v>
      </c>
      <c r="L429" s="9" t="s">
        <v>579</v>
      </c>
      <c r="M429" s="9" t="s">
        <v>580</v>
      </c>
      <c r="N429" s="9" t="s">
        <v>585</v>
      </c>
    </row>
    <row r="430">
      <c r="A430" s="18">
        <v>45973.0</v>
      </c>
      <c r="B430" s="9" t="s">
        <v>942</v>
      </c>
      <c r="C430" s="10">
        <f>+542994169971</f>
        <v>542994169971</v>
      </c>
      <c r="D430" s="9" t="s">
        <v>943</v>
      </c>
      <c r="E430" s="14" t="s">
        <v>24</v>
      </c>
      <c r="F430" s="14" t="s">
        <v>21</v>
      </c>
      <c r="G430" s="14" t="s">
        <v>18</v>
      </c>
      <c r="H430" s="12" t="s">
        <v>740</v>
      </c>
      <c r="I430" s="9" t="s">
        <v>944</v>
      </c>
      <c r="K430" s="14" t="s">
        <v>578</v>
      </c>
      <c r="L430" s="9" t="s">
        <v>579</v>
      </c>
      <c r="M430" s="9" t="s">
        <v>580</v>
      </c>
      <c r="N430" s="9" t="s">
        <v>581</v>
      </c>
    </row>
    <row r="431">
      <c r="A431" s="18">
        <v>45973.0</v>
      </c>
      <c r="B431" s="9" t="s">
        <v>945</v>
      </c>
      <c r="C431" s="10">
        <f>+543412039338</f>
        <v>543412039338</v>
      </c>
      <c r="D431" s="9" t="s">
        <v>946</v>
      </c>
      <c r="E431" s="14" t="s">
        <v>24</v>
      </c>
      <c r="F431" s="14" t="s">
        <v>21</v>
      </c>
      <c r="G431" s="14" t="s">
        <v>25</v>
      </c>
      <c r="H431" s="12" t="s">
        <v>717</v>
      </c>
      <c r="I431" s="9" t="s">
        <v>947</v>
      </c>
      <c r="K431" s="14" t="s">
        <v>578</v>
      </c>
      <c r="L431" s="9" t="s">
        <v>579</v>
      </c>
      <c r="M431" s="9" t="s">
        <v>580</v>
      </c>
      <c r="N431" s="9" t="s">
        <v>585</v>
      </c>
    </row>
    <row r="432">
      <c r="A432" s="18">
        <v>45973.0</v>
      </c>
      <c r="B432" s="9" t="s">
        <v>948</v>
      </c>
      <c r="C432" s="11">
        <v>3.795010138E9</v>
      </c>
      <c r="D432" s="9" t="s">
        <v>949</v>
      </c>
      <c r="E432" s="9" t="s">
        <v>577</v>
      </c>
      <c r="F432" s="14" t="s">
        <v>21</v>
      </c>
      <c r="G432" s="14" t="s">
        <v>25</v>
      </c>
      <c r="H432" s="12" t="s">
        <v>727</v>
      </c>
      <c r="I432" s="9" t="s">
        <v>950</v>
      </c>
      <c r="K432" s="14" t="s">
        <v>578</v>
      </c>
      <c r="L432" s="9" t="s">
        <v>579</v>
      </c>
      <c r="M432" s="9" t="s">
        <v>580</v>
      </c>
      <c r="N432" s="9" t="s">
        <v>585</v>
      </c>
    </row>
    <row r="433">
      <c r="A433" s="18">
        <v>45973.0</v>
      </c>
      <c r="B433" s="9" t="s">
        <v>951</v>
      </c>
      <c r="C433" s="10">
        <f>+542622342836</f>
        <v>542622342836</v>
      </c>
      <c r="D433" s="9" t="s">
        <v>952</v>
      </c>
      <c r="E433" s="14" t="s">
        <v>24</v>
      </c>
      <c r="F433" s="14" t="s">
        <v>21</v>
      </c>
      <c r="G433" s="14" t="s">
        <v>25</v>
      </c>
      <c r="H433" s="12" t="s">
        <v>717</v>
      </c>
      <c r="I433" s="9" t="s">
        <v>920</v>
      </c>
      <c r="K433" s="14" t="s">
        <v>578</v>
      </c>
      <c r="L433" s="9" t="s">
        <v>579</v>
      </c>
      <c r="M433" s="9" t="s">
        <v>580</v>
      </c>
      <c r="N433" s="9" t="s">
        <v>585</v>
      </c>
    </row>
    <row r="434">
      <c r="A434" s="18">
        <v>45973.0</v>
      </c>
      <c r="B434" s="9" t="s">
        <v>953</v>
      </c>
      <c r="C434" s="10">
        <f>+5491133387739</f>
        <v>5491133387739</v>
      </c>
      <c r="D434" s="9" t="s">
        <v>954</v>
      </c>
      <c r="E434" s="14" t="s">
        <v>16</v>
      </c>
      <c r="F434" s="14" t="s">
        <v>21</v>
      </c>
      <c r="G434" s="14" t="s">
        <v>25</v>
      </c>
      <c r="H434" s="12" t="s">
        <v>745</v>
      </c>
      <c r="I434" s="9" t="s">
        <v>955</v>
      </c>
      <c r="K434" s="14" t="s">
        <v>578</v>
      </c>
      <c r="L434" s="9" t="s">
        <v>584</v>
      </c>
      <c r="M434" s="9" t="s">
        <v>580</v>
      </c>
      <c r="N434" s="9" t="s">
        <v>585</v>
      </c>
    </row>
    <row r="435">
      <c r="A435" s="18">
        <v>45973.0</v>
      </c>
      <c r="B435" s="9" t="s">
        <v>956</v>
      </c>
      <c r="C435" s="10">
        <f>+542915055507</f>
        <v>542915055507</v>
      </c>
      <c r="D435" s="9" t="s">
        <v>957</v>
      </c>
      <c r="E435" s="14" t="s">
        <v>16</v>
      </c>
      <c r="F435" s="14" t="s">
        <v>21</v>
      </c>
      <c r="G435" s="14" t="s">
        <v>18</v>
      </c>
      <c r="H435" s="12" t="s">
        <v>727</v>
      </c>
      <c r="I435" s="9" t="s">
        <v>958</v>
      </c>
      <c r="K435" s="14" t="s">
        <v>578</v>
      </c>
      <c r="L435" s="9" t="s">
        <v>579</v>
      </c>
      <c r="M435" s="9" t="s">
        <v>580</v>
      </c>
      <c r="N435" s="9" t="s">
        <v>585</v>
      </c>
    </row>
    <row r="436">
      <c r="A436" s="18">
        <v>45973.0</v>
      </c>
      <c r="B436" s="9" t="s">
        <v>959</v>
      </c>
      <c r="C436" s="10">
        <f>+543743566079</f>
        <v>543743566079</v>
      </c>
      <c r="D436" s="9" t="s">
        <v>960</v>
      </c>
      <c r="E436" s="14" t="s">
        <v>24</v>
      </c>
      <c r="F436" s="12" t="s">
        <v>17</v>
      </c>
      <c r="G436" s="14" t="s">
        <v>25</v>
      </c>
      <c r="H436" s="12" t="s">
        <v>717</v>
      </c>
      <c r="I436" s="9" t="s">
        <v>734</v>
      </c>
      <c r="K436" s="14" t="s">
        <v>578</v>
      </c>
      <c r="L436" s="9" t="s">
        <v>579</v>
      </c>
      <c r="M436" s="9" t="s">
        <v>580</v>
      </c>
      <c r="N436" s="9" t="s">
        <v>585</v>
      </c>
    </row>
    <row r="437">
      <c r="A437" s="18">
        <v>45974.0</v>
      </c>
      <c r="B437" s="9" t="s">
        <v>961</v>
      </c>
      <c r="C437" s="10">
        <f>+5493534282824</f>
        <v>5493534282824</v>
      </c>
      <c r="D437" s="9" t="s">
        <v>962</v>
      </c>
      <c r="E437" s="9" t="s">
        <v>577</v>
      </c>
      <c r="F437" s="14" t="s">
        <v>21</v>
      </c>
      <c r="G437" s="14" t="s">
        <v>25</v>
      </c>
      <c r="H437" s="12" t="s">
        <v>717</v>
      </c>
      <c r="I437" s="9" t="s">
        <v>718</v>
      </c>
      <c r="K437" s="14" t="s">
        <v>578</v>
      </c>
      <c r="L437" s="9" t="s">
        <v>579</v>
      </c>
      <c r="M437" s="9" t="s">
        <v>580</v>
      </c>
      <c r="N437" s="9" t="s">
        <v>585</v>
      </c>
    </row>
    <row r="438">
      <c r="A438" s="18">
        <v>45974.0</v>
      </c>
      <c r="B438" s="9" t="s">
        <v>963</v>
      </c>
      <c r="C438" s="10">
        <f>+5493472540014</f>
        <v>5493472540014</v>
      </c>
      <c r="D438" s="9" t="s">
        <v>964</v>
      </c>
      <c r="E438" s="9" t="s">
        <v>577</v>
      </c>
      <c r="F438" s="14" t="s">
        <v>21</v>
      </c>
      <c r="G438" s="14" t="s">
        <v>18</v>
      </c>
      <c r="H438" s="12" t="s">
        <v>717</v>
      </c>
      <c r="I438" s="9" t="s">
        <v>965</v>
      </c>
      <c r="K438" s="14" t="s">
        <v>578</v>
      </c>
      <c r="L438" s="9" t="s">
        <v>579</v>
      </c>
      <c r="M438" s="9" t="s">
        <v>580</v>
      </c>
      <c r="N438" s="9" t="s">
        <v>581</v>
      </c>
    </row>
    <row r="439">
      <c r="A439" s="18">
        <v>45974.0</v>
      </c>
      <c r="B439" s="9" t="s">
        <v>966</v>
      </c>
      <c r="C439" s="10">
        <f>+543413224650</f>
        <v>543413224650</v>
      </c>
      <c r="D439" s="9" t="s">
        <v>967</v>
      </c>
      <c r="E439" s="14" t="s">
        <v>16</v>
      </c>
      <c r="F439" s="14" t="s">
        <v>21</v>
      </c>
      <c r="G439" s="14" t="s">
        <v>18</v>
      </c>
      <c r="H439" s="12" t="s">
        <v>717</v>
      </c>
      <c r="I439" s="9" t="s">
        <v>818</v>
      </c>
      <c r="K439" s="14" t="s">
        <v>578</v>
      </c>
      <c r="L439" s="9" t="s">
        <v>579</v>
      </c>
      <c r="M439" s="9" t="s">
        <v>580</v>
      </c>
      <c r="N439" s="9" t="s">
        <v>585</v>
      </c>
    </row>
    <row r="440">
      <c r="A440" s="18">
        <v>45974.0</v>
      </c>
      <c r="B440" s="9" t="s">
        <v>968</v>
      </c>
      <c r="C440" s="10">
        <f>+541151583895</f>
        <v>541151583895</v>
      </c>
      <c r="D440" s="9" t="s">
        <v>969</v>
      </c>
      <c r="E440" s="9" t="s">
        <v>577</v>
      </c>
      <c r="F440" s="14" t="s">
        <v>21</v>
      </c>
      <c r="G440" s="14" t="s">
        <v>18</v>
      </c>
      <c r="H440" s="12" t="s">
        <v>717</v>
      </c>
      <c r="I440" s="9" t="s">
        <v>767</v>
      </c>
      <c r="K440" s="14" t="s">
        <v>578</v>
      </c>
      <c r="L440" s="9" t="s">
        <v>579</v>
      </c>
      <c r="M440" s="9" t="s">
        <v>580</v>
      </c>
      <c r="N440" s="9" t="s">
        <v>581</v>
      </c>
    </row>
    <row r="441">
      <c r="A441" s="18">
        <v>45974.0</v>
      </c>
      <c r="B441" s="9" t="s">
        <v>970</v>
      </c>
      <c r="C441" s="10">
        <f>+542302304729</f>
        <v>542302304729</v>
      </c>
      <c r="D441" s="9" t="s">
        <v>971</v>
      </c>
      <c r="E441" s="14" t="s">
        <v>24</v>
      </c>
      <c r="F441" s="14" t="s">
        <v>21</v>
      </c>
      <c r="G441" s="14" t="s">
        <v>25</v>
      </c>
      <c r="H441" s="12" t="s">
        <v>717</v>
      </c>
      <c r="I441" s="9" t="s">
        <v>972</v>
      </c>
      <c r="K441" s="14" t="s">
        <v>578</v>
      </c>
      <c r="L441" s="9" t="s">
        <v>584</v>
      </c>
      <c r="M441" s="9" t="s">
        <v>580</v>
      </c>
      <c r="N441" s="9" t="s">
        <v>581</v>
      </c>
    </row>
    <row r="442">
      <c r="A442" s="18">
        <v>45974.0</v>
      </c>
      <c r="B442" s="9" t="s">
        <v>605</v>
      </c>
      <c r="C442" s="10">
        <f>+541137693557</f>
        <v>541137693557</v>
      </c>
      <c r="D442" s="9" t="s">
        <v>606</v>
      </c>
      <c r="E442" s="14" t="s">
        <v>24</v>
      </c>
      <c r="F442" s="14" t="s">
        <v>21</v>
      </c>
      <c r="G442" s="14" t="s">
        <v>18</v>
      </c>
      <c r="H442" s="12" t="s">
        <v>727</v>
      </c>
      <c r="I442" s="9" t="s">
        <v>770</v>
      </c>
      <c r="K442" s="14" t="s">
        <v>578</v>
      </c>
      <c r="L442" s="9" t="s">
        <v>584</v>
      </c>
      <c r="M442" s="9" t="s">
        <v>580</v>
      </c>
      <c r="N442" s="9" t="s">
        <v>585</v>
      </c>
    </row>
    <row r="443">
      <c r="A443" s="18">
        <v>45974.0</v>
      </c>
      <c r="B443" s="9" t="s">
        <v>973</v>
      </c>
      <c r="C443" s="10">
        <f>+541165049517</f>
        <v>541165049517</v>
      </c>
      <c r="D443" s="9" t="s">
        <v>974</v>
      </c>
      <c r="E443" s="14" t="s">
        <v>16</v>
      </c>
      <c r="F443" s="14" t="s">
        <v>21</v>
      </c>
      <c r="G443" s="14" t="s">
        <v>18</v>
      </c>
      <c r="H443" s="12" t="s">
        <v>745</v>
      </c>
      <c r="I443" s="9" t="s">
        <v>885</v>
      </c>
      <c r="K443" s="14" t="s">
        <v>578</v>
      </c>
      <c r="L443" s="9" t="s">
        <v>584</v>
      </c>
      <c r="M443" s="9" t="s">
        <v>580</v>
      </c>
      <c r="N443" s="9" t="s">
        <v>581</v>
      </c>
    </row>
    <row r="444">
      <c r="A444" s="18">
        <v>45974.0</v>
      </c>
      <c r="B444" s="9" t="s">
        <v>975</v>
      </c>
      <c r="C444" s="10">
        <f>+543424072740</f>
        <v>543424072740</v>
      </c>
      <c r="D444" s="9" t="s">
        <v>976</v>
      </c>
      <c r="E444" s="14" t="s">
        <v>16</v>
      </c>
      <c r="F444" s="14" t="s">
        <v>21</v>
      </c>
      <c r="G444" s="14" t="s">
        <v>18</v>
      </c>
      <c r="H444" s="12" t="s">
        <v>740</v>
      </c>
      <c r="I444" s="9" t="s">
        <v>855</v>
      </c>
      <c r="K444" s="14" t="s">
        <v>578</v>
      </c>
      <c r="L444" s="9" t="s">
        <v>584</v>
      </c>
      <c r="M444" s="9" t="s">
        <v>580</v>
      </c>
      <c r="N444" s="9" t="s">
        <v>585</v>
      </c>
    </row>
    <row r="445">
      <c r="A445" s="18">
        <v>45974.0</v>
      </c>
      <c r="B445" s="9" t="s">
        <v>977</v>
      </c>
      <c r="C445" s="10">
        <f>+541134600709</f>
        <v>541134600709</v>
      </c>
      <c r="D445" s="9" t="s">
        <v>978</v>
      </c>
      <c r="E445" s="9" t="s">
        <v>577</v>
      </c>
      <c r="F445" s="14" t="s">
        <v>32</v>
      </c>
      <c r="G445" s="14" t="s">
        <v>25</v>
      </c>
      <c r="H445" s="12" t="s">
        <v>745</v>
      </c>
      <c r="I445" s="9" t="s">
        <v>979</v>
      </c>
      <c r="K445" s="14" t="s">
        <v>578</v>
      </c>
      <c r="L445" s="9" t="s">
        <v>584</v>
      </c>
      <c r="M445" s="9" t="s">
        <v>580</v>
      </c>
      <c r="N445" s="9" t="s">
        <v>581</v>
      </c>
    </row>
    <row r="446">
      <c r="A446" s="18">
        <v>45974.0</v>
      </c>
      <c r="B446" s="9" t="s">
        <v>980</v>
      </c>
      <c r="C446" s="10">
        <f>+543586002813</f>
        <v>543586002813</v>
      </c>
      <c r="D446" s="9" t="s">
        <v>981</v>
      </c>
      <c r="E446" s="9" t="s">
        <v>577</v>
      </c>
      <c r="F446" s="14" t="s">
        <v>21</v>
      </c>
      <c r="G446" s="14" t="s">
        <v>25</v>
      </c>
      <c r="H446" s="12" t="s">
        <v>717</v>
      </c>
      <c r="I446" s="9" t="s">
        <v>982</v>
      </c>
      <c r="K446" s="14" t="s">
        <v>578</v>
      </c>
      <c r="L446" s="9" t="s">
        <v>579</v>
      </c>
      <c r="M446" s="9" t="s">
        <v>580</v>
      </c>
      <c r="N446" s="9" t="s">
        <v>585</v>
      </c>
    </row>
    <row r="447">
      <c r="A447" s="18">
        <v>45974.0</v>
      </c>
      <c r="B447" s="9" t="s">
        <v>983</v>
      </c>
      <c r="C447" s="10">
        <f>+543571554619</f>
        <v>543571554619</v>
      </c>
      <c r="D447" s="9" t="s">
        <v>984</v>
      </c>
      <c r="E447" s="9" t="s">
        <v>577</v>
      </c>
      <c r="F447" s="14" t="s">
        <v>21</v>
      </c>
      <c r="G447" s="14" t="s">
        <v>25</v>
      </c>
      <c r="H447" s="12" t="s">
        <v>717</v>
      </c>
      <c r="I447" s="9" t="s">
        <v>985</v>
      </c>
      <c r="K447" s="14" t="s">
        <v>578</v>
      </c>
      <c r="L447" s="9" t="s">
        <v>579</v>
      </c>
      <c r="M447" s="9" t="s">
        <v>580</v>
      </c>
      <c r="N447" s="9" t="s">
        <v>581</v>
      </c>
    </row>
    <row r="448">
      <c r="A448" s="18">
        <v>45974.0</v>
      </c>
      <c r="B448" s="9" t="s">
        <v>986</v>
      </c>
      <c r="C448" s="10">
        <f>+542914638681</f>
        <v>542914638681</v>
      </c>
      <c r="D448" s="9" t="s">
        <v>987</v>
      </c>
      <c r="E448" s="14" t="s">
        <v>16</v>
      </c>
      <c r="F448" s="14" t="s">
        <v>32</v>
      </c>
      <c r="G448" s="14" t="s">
        <v>25</v>
      </c>
      <c r="H448" s="12" t="s">
        <v>745</v>
      </c>
      <c r="I448" s="9" t="s">
        <v>885</v>
      </c>
      <c r="K448" s="14" t="s">
        <v>578</v>
      </c>
      <c r="L448" s="9" t="s">
        <v>579</v>
      </c>
      <c r="M448" s="9" t="s">
        <v>580</v>
      </c>
      <c r="N448" s="9" t="s">
        <v>581</v>
      </c>
    </row>
    <row r="449">
      <c r="A449" s="18">
        <v>45974.0</v>
      </c>
      <c r="B449" s="9" t="s">
        <v>988</v>
      </c>
      <c r="C449" s="10">
        <f>+543455400388</f>
        <v>543455400388</v>
      </c>
      <c r="D449" s="9" t="s">
        <v>989</v>
      </c>
      <c r="E449" s="9" t="s">
        <v>577</v>
      </c>
      <c r="F449" s="14" t="s">
        <v>21</v>
      </c>
      <c r="G449" s="14" t="s">
        <v>18</v>
      </c>
      <c r="H449" s="12" t="s">
        <v>727</v>
      </c>
      <c r="I449" s="9" t="s">
        <v>818</v>
      </c>
      <c r="K449" s="14" t="s">
        <v>578</v>
      </c>
      <c r="L449" s="9" t="s">
        <v>579</v>
      </c>
      <c r="M449" s="9" t="s">
        <v>580</v>
      </c>
      <c r="N449" s="9" t="s">
        <v>585</v>
      </c>
    </row>
    <row r="450">
      <c r="A450" s="18">
        <v>45974.0</v>
      </c>
      <c r="B450" s="9" t="s">
        <v>990</v>
      </c>
      <c r="C450" s="10">
        <f>+543704963661</f>
        <v>543704963661</v>
      </c>
      <c r="D450" s="9" t="s">
        <v>991</v>
      </c>
      <c r="E450" s="14" t="s">
        <v>24</v>
      </c>
      <c r="F450" s="14" t="s">
        <v>21</v>
      </c>
      <c r="G450" s="14" t="s">
        <v>25</v>
      </c>
      <c r="H450" s="12" t="s">
        <v>717</v>
      </c>
      <c r="I450" s="9" t="s">
        <v>992</v>
      </c>
      <c r="K450" s="14" t="s">
        <v>578</v>
      </c>
      <c r="L450" s="9" t="s">
        <v>579</v>
      </c>
      <c r="M450" s="9" t="s">
        <v>580</v>
      </c>
      <c r="N450" s="9" t="s">
        <v>585</v>
      </c>
    </row>
    <row r="451">
      <c r="A451" s="18">
        <v>45974.0</v>
      </c>
      <c r="B451" s="9" t="s">
        <v>993</v>
      </c>
      <c r="C451" s="10">
        <f>+543834555457</f>
        <v>543834555457</v>
      </c>
      <c r="D451" s="9" t="s">
        <v>994</v>
      </c>
      <c r="E451" s="14" t="s">
        <v>16</v>
      </c>
      <c r="F451" s="14" t="s">
        <v>32</v>
      </c>
      <c r="G451" s="14" t="s">
        <v>25</v>
      </c>
      <c r="H451" s="12" t="s">
        <v>727</v>
      </c>
      <c r="I451" s="9" t="s">
        <v>885</v>
      </c>
      <c r="K451" s="14" t="s">
        <v>578</v>
      </c>
      <c r="L451" s="9" t="s">
        <v>584</v>
      </c>
      <c r="M451" s="9" t="s">
        <v>580</v>
      </c>
      <c r="N451" s="9" t="s">
        <v>581</v>
      </c>
    </row>
    <row r="452">
      <c r="A452" s="18">
        <v>45974.0</v>
      </c>
      <c r="B452" s="12" t="s">
        <v>995</v>
      </c>
      <c r="C452" s="17">
        <v>3.533402292E9</v>
      </c>
      <c r="D452" s="12" t="s">
        <v>996</v>
      </c>
      <c r="E452" s="12" t="s">
        <v>577</v>
      </c>
      <c r="F452" s="14" t="s">
        <v>21</v>
      </c>
      <c r="G452" s="14" t="s">
        <v>25</v>
      </c>
      <c r="H452" s="12" t="s">
        <v>717</v>
      </c>
      <c r="I452" s="9" t="s">
        <v>997</v>
      </c>
      <c r="K452" s="14" t="s">
        <v>578</v>
      </c>
      <c r="L452" s="9" t="s">
        <v>579</v>
      </c>
      <c r="M452" s="9" t="s">
        <v>580</v>
      </c>
      <c r="N452" s="9" t="s">
        <v>585</v>
      </c>
    </row>
    <row r="453">
      <c r="A453" s="18">
        <v>45974.0</v>
      </c>
      <c r="B453" s="12" t="s">
        <v>998</v>
      </c>
      <c r="C453" s="13">
        <f>+542984862445</f>
        <v>542984862445</v>
      </c>
      <c r="D453" s="12" t="s">
        <v>702</v>
      </c>
      <c r="E453" s="14" t="s">
        <v>16</v>
      </c>
      <c r="F453" s="12" t="s">
        <v>17</v>
      </c>
      <c r="G453" s="14" t="s">
        <v>18</v>
      </c>
      <c r="H453" s="12" t="s">
        <v>740</v>
      </c>
      <c r="I453" s="9" t="s">
        <v>818</v>
      </c>
      <c r="K453" s="14" t="s">
        <v>578</v>
      </c>
      <c r="L453" s="9" t="s">
        <v>579</v>
      </c>
      <c r="M453" s="9" t="s">
        <v>580</v>
      </c>
      <c r="N453" s="9" t="s">
        <v>581</v>
      </c>
    </row>
    <row r="454">
      <c r="A454" s="18">
        <v>45974.0</v>
      </c>
      <c r="B454" s="12" t="s">
        <v>999</v>
      </c>
      <c r="C454" s="13">
        <f>+542954219548</f>
        <v>542954219548</v>
      </c>
      <c r="D454" s="12" t="s">
        <v>1000</v>
      </c>
      <c r="E454" s="12" t="s">
        <v>577</v>
      </c>
      <c r="F454" s="14" t="s">
        <v>21</v>
      </c>
      <c r="G454" s="14" t="s">
        <v>18</v>
      </c>
      <c r="H454" s="12" t="s">
        <v>727</v>
      </c>
      <c r="I454" s="9" t="s">
        <v>818</v>
      </c>
      <c r="J454" s="15"/>
      <c r="K454" s="14" t="s">
        <v>578</v>
      </c>
      <c r="L454" s="12" t="s">
        <v>579</v>
      </c>
      <c r="M454" s="12" t="s">
        <v>580</v>
      </c>
      <c r="N454" s="12" t="s">
        <v>585</v>
      </c>
      <c r="O454" s="15"/>
    </row>
    <row r="455">
      <c r="A455" s="18">
        <v>45974.0</v>
      </c>
      <c r="B455" s="12" t="s">
        <v>1001</v>
      </c>
      <c r="C455" s="13">
        <f>+543585405406</f>
        <v>543585405406</v>
      </c>
      <c r="D455" s="12" t="s">
        <v>1002</v>
      </c>
      <c r="E455" s="14" t="s">
        <v>16</v>
      </c>
      <c r="F455" s="14" t="s">
        <v>21</v>
      </c>
      <c r="G455" s="14" t="s">
        <v>18</v>
      </c>
      <c r="H455" s="12" t="s">
        <v>727</v>
      </c>
      <c r="I455" s="9" t="s">
        <v>734</v>
      </c>
      <c r="J455" s="15"/>
      <c r="K455" s="14" t="s">
        <v>578</v>
      </c>
      <c r="L455" s="12" t="s">
        <v>579</v>
      </c>
      <c r="M455" s="12" t="s">
        <v>580</v>
      </c>
      <c r="N455" s="12" t="s">
        <v>585</v>
      </c>
      <c r="O455" s="15"/>
    </row>
    <row r="456">
      <c r="A456" s="18">
        <v>45974.0</v>
      </c>
      <c r="B456" s="12" t="s">
        <v>1003</v>
      </c>
      <c r="C456" s="13">
        <f>+542945696853</f>
        <v>542945696853</v>
      </c>
      <c r="D456" s="12" t="s">
        <v>1004</v>
      </c>
      <c r="E456" s="14" t="s">
        <v>16</v>
      </c>
      <c r="F456" s="14" t="s">
        <v>21</v>
      </c>
      <c r="G456" s="14" t="s">
        <v>25</v>
      </c>
      <c r="H456" s="12" t="s">
        <v>717</v>
      </c>
      <c r="I456" s="9" t="s">
        <v>1005</v>
      </c>
      <c r="J456" s="15"/>
      <c r="K456" s="14" t="s">
        <v>578</v>
      </c>
      <c r="L456" s="12" t="s">
        <v>579</v>
      </c>
      <c r="M456" s="12" t="s">
        <v>580</v>
      </c>
      <c r="N456" s="12" t="s">
        <v>585</v>
      </c>
      <c r="O456" s="15"/>
    </row>
    <row r="457">
      <c r="A457" s="18">
        <v>45974.0</v>
      </c>
      <c r="B457" s="12" t="s">
        <v>1006</v>
      </c>
      <c r="C457" s="13">
        <f>+542966217688</f>
        <v>542966217688</v>
      </c>
      <c r="D457" s="12" t="s">
        <v>1007</v>
      </c>
      <c r="E457" s="12" t="s">
        <v>577</v>
      </c>
      <c r="F457" s="14" t="s">
        <v>21</v>
      </c>
      <c r="G457" s="14" t="s">
        <v>25</v>
      </c>
      <c r="H457" s="12" t="s">
        <v>740</v>
      </c>
      <c r="I457" s="12" t="s">
        <v>1008</v>
      </c>
      <c r="J457" s="15"/>
      <c r="K457" s="14" t="s">
        <v>578</v>
      </c>
      <c r="L457" s="12" t="s">
        <v>584</v>
      </c>
      <c r="M457" s="12" t="s">
        <v>580</v>
      </c>
      <c r="N457" s="12" t="s">
        <v>581</v>
      </c>
      <c r="O457" s="15"/>
    </row>
    <row r="458">
      <c r="A458" s="18">
        <v>45974.0</v>
      </c>
      <c r="B458" s="12" t="s">
        <v>1009</v>
      </c>
      <c r="C458" s="13">
        <f>+543518741291</f>
        <v>543518741291</v>
      </c>
      <c r="D458" s="12" t="s">
        <v>1010</v>
      </c>
      <c r="E458" s="14" t="s">
        <v>16</v>
      </c>
      <c r="F458" s="14" t="s">
        <v>21</v>
      </c>
      <c r="G458" s="14" t="s">
        <v>18</v>
      </c>
      <c r="H458" s="12" t="s">
        <v>717</v>
      </c>
      <c r="I458" s="12" t="s">
        <v>1011</v>
      </c>
      <c r="J458" s="15"/>
      <c r="K458" s="14" t="s">
        <v>578</v>
      </c>
      <c r="L458" s="12" t="s">
        <v>579</v>
      </c>
      <c r="M458" s="12" t="s">
        <v>580</v>
      </c>
      <c r="N458" s="12" t="s">
        <v>585</v>
      </c>
      <c r="O458" s="15"/>
    </row>
    <row r="459">
      <c r="A459" s="18">
        <v>45975.0</v>
      </c>
      <c r="B459" s="12" t="s">
        <v>1012</v>
      </c>
      <c r="C459" s="13">
        <f>+542614172422</f>
        <v>542614172422</v>
      </c>
      <c r="D459" s="12" t="s">
        <v>1013</v>
      </c>
      <c r="E459" s="14" t="s">
        <v>16</v>
      </c>
      <c r="F459" s="12" t="s">
        <v>17</v>
      </c>
      <c r="G459" s="14" t="s">
        <v>25</v>
      </c>
      <c r="H459" s="12" t="s">
        <v>745</v>
      </c>
      <c r="I459" s="12" t="s">
        <v>770</v>
      </c>
      <c r="J459" s="15"/>
      <c r="K459" s="14" t="s">
        <v>578</v>
      </c>
      <c r="L459" s="12" t="s">
        <v>584</v>
      </c>
      <c r="M459" s="12" t="s">
        <v>580</v>
      </c>
      <c r="N459" s="12" t="s">
        <v>585</v>
      </c>
      <c r="O459" s="15"/>
    </row>
    <row r="460">
      <c r="A460" s="18">
        <v>45975.0</v>
      </c>
      <c r="B460" s="12" t="s">
        <v>1014</v>
      </c>
      <c r="C460" s="13">
        <f>+5491155734248</f>
        <v>5491155734248</v>
      </c>
      <c r="D460" s="12" t="s">
        <v>1015</v>
      </c>
      <c r="E460" s="14" t="s">
        <v>16</v>
      </c>
      <c r="F460" s="14" t="s">
        <v>21</v>
      </c>
      <c r="G460" s="14" t="s">
        <v>18</v>
      </c>
      <c r="H460" s="12" t="s">
        <v>740</v>
      </c>
      <c r="I460" s="12" t="s">
        <v>718</v>
      </c>
      <c r="J460" s="15"/>
      <c r="K460" s="14" t="s">
        <v>578</v>
      </c>
      <c r="L460" s="12" t="s">
        <v>584</v>
      </c>
      <c r="M460" s="12" t="s">
        <v>580</v>
      </c>
      <c r="N460" s="12" t="s">
        <v>585</v>
      </c>
      <c r="O460" s="15"/>
    </row>
    <row r="461">
      <c r="A461" s="18">
        <v>45975.0</v>
      </c>
      <c r="B461" s="12" t="s">
        <v>1016</v>
      </c>
      <c r="C461" s="13">
        <f>+543586002238</f>
        <v>543586002238</v>
      </c>
      <c r="D461" s="12" t="s">
        <v>1017</v>
      </c>
      <c r="E461" s="12" t="s">
        <v>577</v>
      </c>
      <c r="F461" s="12" t="s">
        <v>17</v>
      </c>
      <c r="G461" s="14" t="s">
        <v>25</v>
      </c>
      <c r="H461" s="12" t="s">
        <v>740</v>
      </c>
      <c r="I461" s="12" t="s">
        <v>1018</v>
      </c>
      <c r="J461" s="15"/>
      <c r="K461" s="14" t="s">
        <v>578</v>
      </c>
      <c r="L461" s="12" t="s">
        <v>579</v>
      </c>
      <c r="M461" s="12" t="s">
        <v>580</v>
      </c>
      <c r="N461" s="12" t="s">
        <v>581</v>
      </c>
      <c r="O461" s="15"/>
    </row>
    <row r="462">
      <c r="A462" s="18">
        <v>45975.0</v>
      </c>
      <c r="B462" s="12" t="s">
        <v>1019</v>
      </c>
      <c r="C462" s="13">
        <f>+5492901533084</f>
        <v>5492901533084</v>
      </c>
      <c r="D462" s="12" t="s">
        <v>1020</v>
      </c>
      <c r="E462" s="12" t="s">
        <v>577</v>
      </c>
      <c r="F462" s="14" t="s">
        <v>21</v>
      </c>
      <c r="G462" s="14" t="s">
        <v>18</v>
      </c>
      <c r="H462" s="12" t="s">
        <v>745</v>
      </c>
      <c r="I462" s="12" t="s">
        <v>1021</v>
      </c>
      <c r="J462" s="15"/>
      <c r="K462" s="14" t="s">
        <v>578</v>
      </c>
      <c r="L462" s="12" t="s">
        <v>579</v>
      </c>
      <c r="M462" s="12" t="s">
        <v>580</v>
      </c>
      <c r="N462" s="12" t="s">
        <v>585</v>
      </c>
      <c r="O462" s="15"/>
    </row>
    <row r="463">
      <c r="A463" s="18">
        <v>45975.0</v>
      </c>
      <c r="B463" s="12" t="s">
        <v>1022</v>
      </c>
      <c r="C463" s="13">
        <f>+541133801994</f>
        <v>541133801994</v>
      </c>
      <c r="D463" s="12" t="s">
        <v>1023</v>
      </c>
      <c r="E463" s="14" t="s">
        <v>24</v>
      </c>
      <c r="F463" s="14" t="s">
        <v>21</v>
      </c>
      <c r="G463" s="14" t="s">
        <v>25</v>
      </c>
      <c r="H463" s="12" t="s">
        <v>740</v>
      </c>
      <c r="I463" s="12" t="s">
        <v>1024</v>
      </c>
      <c r="J463" s="15"/>
      <c r="K463" s="14" t="s">
        <v>578</v>
      </c>
      <c r="L463" s="12" t="s">
        <v>584</v>
      </c>
      <c r="M463" s="12" t="s">
        <v>580</v>
      </c>
      <c r="N463" s="12" t="s">
        <v>585</v>
      </c>
      <c r="O463" s="15"/>
    </row>
    <row r="464">
      <c r="A464" s="18">
        <v>45975.0</v>
      </c>
      <c r="B464" s="12" t="s">
        <v>1025</v>
      </c>
      <c r="C464" s="13">
        <f>+541151325323</f>
        <v>541151325323</v>
      </c>
      <c r="D464" s="12" t="s">
        <v>1026</v>
      </c>
      <c r="E464" s="14" t="s">
        <v>16</v>
      </c>
      <c r="F464" s="14" t="s">
        <v>21</v>
      </c>
      <c r="G464" s="14" t="s">
        <v>25</v>
      </c>
      <c r="H464" s="12" t="s">
        <v>740</v>
      </c>
      <c r="I464" s="12" t="s">
        <v>756</v>
      </c>
      <c r="J464" s="15"/>
      <c r="K464" s="14" t="s">
        <v>578</v>
      </c>
      <c r="L464" s="12" t="s">
        <v>584</v>
      </c>
      <c r="M464" s="12" t="s">
        <v>580</v>
      </c>
      <c r="N464" s="12" t="s">
        <v>581</v>
      </c>
      <c r="O464" s="15"/>
    </row>
    <row r="465">
      <c r="A465" s="18">
        <v>45975.0</v>
      </c>
      <c r="B465" s="12" t="s">
        <v>1027</v>
      </c>
      <c r="C465" s="13">
        <f>+542323348188</f>
        <v>542323348188</v>
      </c>
      <c r="D465" s="12" t="s">
        <v>1028</v>
      </c>
      <c r="E465" s="14" t="s">
        <v>16</v>
      </c>
      <c r="F465" s="14" t="s">
        <v>21</v>
      </c>
      <c r="G465" s="14" t="s">
        <v>25</v>
      </c>
      <c r="H465" s="12" t="s">
        <v>727</v>
      </c>
      <c r="I465" s="12" t="s">
        <v>1029</v>
      </c>
      <c r="J465" s="15"/>
      <c r="K465" s="14" t="s">
        <v>578</v>
      </c>
      <c r="L465" s="12" t="s">
        <v>584</v>
      </c>
      <c r="M465" s="12" t="s">
        <v>580</v>
      </c>
      <c r="N465" s="12" t="s">
        <v>585</v>
      </c>
      <c r="O465" s="15"/>
    </row>
    <row r="466">
      <c r="A466" s="18">
        <v>45975.0</v>
      </c>
      <c r="B466" s="12" t="s">
        <v>1030</v>
      </c>
      <c r="C466" s="13">
        <f>+5493582408683</f>
        <v>5493582408683</v>
      </c>
      <c r="D466" s="12" t="s">
        <v>1031</v>
      </c>
      <c r="E466" s="12" t="s">
        <v>577</v>
      </c>
      <c r="F466" s="14" t="s">
        <v>21</v>
      </c>
      <c r="G466" s="14" t="s">
        <v>25</v>
      </c>
      <c r="H466" s="12" t="s">
        <v>717</v>
      </c>
      <c r="I466" s="12" t="s">
        <v>731</v>
      </c>
      <c r="J466" s="15"/>
      <c r="K466" s="14" t="s">
        <v>578</v>
      </c>
      <c r="L466" s="12" t="s">
        <v>579</v>
      </c>
      <c r="M466" s="12" t="s">
        <v>580</v>
      </c>
      <c r="N466" s="12" t="s">
        <v>585</v>
      </c>
      <c r="O466" s="15"/>
    </row>
    <row r="467">
      <c r="A467" s="18">
        <v>45976.0</v>
      </c>
      <c r="B467" s="12" t="s">
        <v>1032</v>
      </c>
      <c r="C467" s="13">
        <f>+541165089133</f>
        <v>541165089133</v>
      </c>
      <c r="D467" s="12" t="s">
        <v>1033</v>
      </c>
      <c r="E467" s="12" t="s">
        <v>577</v>
      </c>
      <c r="F467" s="14" t="s">
        <v>21</v>
      </c>
      <c r="G467" s="14" t="s">
        <v>25</v>
      </c>
      <c r="H467" s="12" t="s">
        <v>745</v>
      </c>
      <c r="I467" s="12" t="s">
        <v>1034</v>
      </c>
      <c r="J467" s="15"/>
      <c r="K467" s="14" t="s">
        <v>578</v>
      </c>
      <c r="L467" s="12" t="s">
        <v>584</v>
      </c>
      <c r="M467" s="12" t="s">
        <v>580</v>
      </c>
      <c r="N467" s="12" t="s">
        <v>581</v>
      </c>
      <c r="O467" s="15"/>
    </row>
    <row r="468">
      <c r="A468" s="18">
        <v>45976.0</v>
      </c>
      <c r="B468" s="12" t="s">
        <v>1035</v>
      </c>
      <c r="C468" s="13">
        <f>+5492645034454</f>
        <v>5492645034454</v>
      </c>
      <c r="D468" s="12" t="s">
        <v>1036</v>
      </c>
      <c r="E468" s="14" t="s">
        <v>16</v>
      </c>
      <c r="F468" s="14" t="s">
        <v>21</v>
      </c>
      <c r="G468" s="14" t="s">
        <v>25</v>
      </c>
      <c r="H468" s="12" t="s">
        <v>717</v>
      </c>
      <c r="I468" s="12" t="s">
        <v>1037</v>
      </c>
      <c r="J468" s="15"/>
      <c r="K468" s="14" t="s">
        <v>578</v>
      </c>
      <c r="L468" s="12" t="s">
        <v>579</v>
      </c>
      <c r="M468" s="12" t="s">
        <v>580</v>
      </c>
      <c r="N468" s="12" t="s">
        <v>585</v>
      </c>
      <c r="O468" s="15"/>
    </row>
    <row r="469">
      <c r="A469" s="18">
        <v>45976.0</v>
      </c>
      <c r="B469" s="12" t="s">
        <v>1038</v>
      </c>
      <c r="C469" s="13">
        <f>+5493454126218</f>
        <v>5493454126218</v>
      </c>
      <c r="D469" s="12" t="s">
        <v>1039</v>
      </c>
      <c r="E469" s="14" t="s">
        <v>16</v>
      </c>
      <c r="F469" s="14" t="s">
        <v>21</v>
      </c>
      <c r="G469" s="14" t="s">
        <v>25</v>
      </c>
      <c r="H469" s="12" t="s">
        <v>740</v>
      </c>
      <c r="I469" s="12" t="s">
        <v>1040</v>
      </c>
      <c r="J469" s="15"/>
      <c r="K469" s="14" t="s">
        <v>578</v>
      </c>
      <c r="L469" s="12" t="s">
        <v>579</v>
      </c>
      <c r="M469" s="12" t="s">
        <v>580</v>
      </c>
      <c r="N469" s="12" t="s">
        <v>581</v>
      </c>
      <c r="O469" s="15"/>
    </row>
    <row r="470">
      <c r="A470" s="18">
        <v>45976.0</v>
      </c>
      <c r="B470" s="12" t="s">
        <v>1041</v>
      </c>
      <c r="C470" s="13">
        <f>+543804848861</f>
        <v>543804848861</v>
      </c>
      <c r="D470" s="12" t="s">
        <v>1042</v>
      </c>
      <c r="E470" s="14" t="s">
        <v>24</v>
      </c>
      <c r="F470" s="14" t="s">
        <v>21</v>
      </c>
      <c r="G470" s="14" t="s">
        <v>25</v>
      </c>
      <c r="H470" s="12" t="s">
        <v>740</v>
      </c>
      <c r="I470" s="12" t="s">
        <v>885</v>
      </c>
      <c r="J470" s="15"/>
      <c r="K470" s="14" t="s">
        <v>578</v>
      </c>
      <c r="L470" s="12" t="s">
        <v>579</v>
      </c>
      <c r="M470" s="12" t="s">
        <v>580</v>
      </c>
      <c r="N470" s="12" t="s">
        <v>581</v>
      </c>
      <c r="O470" s="15"/>
    </row>
    <row r="471">
      <c r="A471" s="18">
        <v>45976.0</v>
      </c>
      <c r="B471" s="12" t="s">
        <v>1043</v>
      </c>
      <c r="C471" s="13">
        <f>+542994110369</f>
        <v>542994110369</v>
      </c>
      <c r="D471" s="12" t="s">
        <v>1044</v>
      </c>
      <c r="E471" s="12" t="s">
        <v>577</v>
      </c>
      <c r="F471" s="14" t="s">
        <v>32</v>
      </c>
      <c r="G471" s="12" t="s">
        <v>1045</v>
      </c>
      <c r="H471" s="12" t="s">
        <v>740</v>
      </c>
      <c r="I471" s="12" t="s">
        <v>756</v>
      </c>
      <c r="J471" s="15"/>
      <c r="K471" s="14" t="s">
        <v>578</v>
      </c>
      <c r="L471" s="12" t="s">
        <v>579</v>
      </c>
      <c r="M471" s="12" t="s">
        <v>580</v>
      </c>
      <c r="N471" s="12" t="s">
        <v>581</v>
      </c>
      <c r="O471" s="15"/>
    </row>
    <row r="472">
      <c r="A472" s="18">
        <v>45976.0</v>
      </c>
      <c r="B472" s="12" t="s">
        <v>1046</v>
      </c>
      <c r="C472" s="13">
        <f>+543777476865</f>
        <v>543777476865</v>
      </c>
      <c r="D472" s="12" t="s">
        <v>1047</v>
      </c>
      <c r="E472" s="14" t="s">
        <v>24</v>
      </c>
      <c r="F472" s="12" t="s">
        <v>17</v>
      </c>
      <c r="G472" s="14" t="s">
        <v>25</v>
      </c>
      <c r="H472" s="12" t="s">
        <v>740</v>
      </c>
      <c r="I472" s="12" t="s">
        <v>1048</v>
      </c>
      <c r="J472" s="15"/>
      <c r="K472" s="14" t="s">
        <v>578</v>
      </c>
      <c r="L472" s="12" t="s">
        <v>584</v>
      </c>
      <c r="M472" s="12" t="s">
        <v>580</v>
      </c>
      <c r="N472" s="12" t="s">
        <v>581</v>
      </c>
      <c r="O472" s="15"/>
    </row>
    <row r="473">
      <c r="A473" s="18">
        <v>45977.0</v>
      </c>
      <c r="B473" s="12" t="s">
        <v>1049</v>
      </c>
      <c r="C473" s="13">
        <f>+543854861555</f>
        <v>543854861555</v>
      </c>
      <c r="D473" s="12" t="s">
        <v>1050</v>
      </c>
      <c r="E473" s="14" t="s">
        <v>24</v>
      </c>
      <c r="F473" s="14" t="s">
        <v>21</v>
      </c>
      <c r="G473" s="14" t="s">
        <v>25</v>
      </c>
      <c r="H473" s="12" t="s">
        <v>745</v>
      </c>
      <c r="I473" s="12" t="s">
        <v>1051</v>
      </c>
      <c r="J473" s="15"/>
      <c r="K473" s="14" t="s">
        <v>578</v>
      </c>
      <c r="L473" s="12" t="s">
        <v>579</v>
      </c>
      <c r="M473" s="12" t="s">
        <v>580</v>
      </c>
      <c r="N473" s="12" t="s">
        <v>585</v>
      </c>
      <c r="O473" s="15"/>
    </row>
    <row r="474">
      <c r="A474" s="18">
        <v>45977.0</v>
      </c>
      <c r="B474" s="12" t="s">
        <v>1052</v>
      </c>
      <c r="C474" s="13">
        <f>+542314486110</f>
        <v>542314486110</v>
      </c>
      <c r="D474" s="12" t="s">
        <v>1053</v>
      </c>
      <c r="E474" s="14" t="s">
        <v>16</v>
      </c>
      <c r="F474" s="14" t="s">
        <v>21</v>
      </c>
      <c r="G474" s="14" t="s">
        <v>25</v>
      </c>
      <c r="H474" s="12" t="s">
        <v>717</v>
      </c>
      <c r="I474" s="12" t="s">
        <v>1054</v>
      </c>
      <c r="J474" s="15"/>
      <c r="K474" s="14" t="s">
        <v>578</v>
      </c>
      <c r="L474" s="12" t="s">
        <v>579</v>
      </c>
      <c r="M474" s="12" t="s">
        <v>1055</v>
      </c>
      <c r="N474" s="12" t="s">
        <v>581</v>
      </c>
      <c r="O474" s="15"/>
    </row>
    <row r="475">
      <c r="A475" s="18">
        <v>45977.0</v>
      </c>
      <c r="B475" s="12" t="s">
        <v>1056</v>
      </c>
      <c r="C475" s="13">
        <f>+541161037093</f>
        <v>541161037093</v>
      </c>
      <c r="D475" s="12" t="s">
        <v>1057</v>
      </c>
      <c r="E475" s="14" t="s">
        <v>24</v>
      </c>
      <c r="F475" s="14" t="s">
        <v>21</v>
      </c>
      <c r="G475" s="14" t="s">
        <v>18</v>
      </c>
      <c r="H475" s="12" t="s">
        <v>717</v>
      </c>
      <c r="I475" s="12" t="s">
        <v>920</v>
      </c>
      <c r="J475" s="15"/>
      <c r="K475" s="14" t="s">
        <v>578</v>
      </c>
      <c r="L475" s="12" t="s">
        <v>584</v>
      </c>
      <c r="M475" s="12" t="s">
        <v>580</v>
      </c>
      <c r="N475" s="12" t="s">
        <v>585</v>
      </c>
      <c r="O475" s="15"/>
    </row>
    <row r="476">
      <c r="A476" s="18">
        <v>45977.0</v>
      </c>
      <c r="B476" s="9" t="s">
        <v>1058</v>
      </c>
      <c r="C476" s="11">
        <v>2.665063171E9</v>
      </c>
      <c r="D476" s="9" t="s">
        <v>1059</v>
      </c>
      <c r="E476" s="12" t="s">
        <v>577</v>
      </c>
      <c r="F476" s="14" t="s">
        <v>21</v>
      </c>
      <c r="G476" s="14" t="s">
        <v>25</v>
      </c>
      <c r="H476" s="12" t="s">
        <v>717</v>
      </c>
      <c r="I476" s="12" t="s">
        <v>1060</v>
      </c>
      <c r="J476" s="15"/>
      <c r="K476" s="14" t="s">
        <v>578</v>
      </c>
      <c r="L476" s="12" t="s">
        <v>579</v>
      </c>
      <c r="M476" s="12" t="s">
        <v>1055</v>
      </c>
      <c r="N476" s="12" t="s">
        <v>585</v>
      </c>
      <c r="O476" s="15"/>
    </row>
    <row r="477">
      <c r="A477" s="18">
        <v>45977.0</v>
      </c>
      <c r="B477" s="9" t="s">
        <v>1061</v>
      </c>
      <c r="C477" s="10">
        <f>+543564358794</f>
        <v>543564358794</v>
      </c>
      <c r="D477" s="9" t="s">
        <v>1062</v>
      </c>
      <c r="E477" s="14" t="s">
        <v>16</v>
      </c>
      <c r="F477" s="14" t="s">
        <v>32</v>
      </c>
      <c r="G477" s="14" t="s">
        <v>25</v>
      </c>
      <c r="H477" s="12" t="s">
        <v>745</v>
      </c>
      <c r="I477" s="12" t="s">
        <v>728</v>
      </c>
      <c r="J477" s="15"/>
      <c r="K477" s="14" t="s">
        <v>578</v>
      </c>
      <c r="L477" s="12" t="s">
        <v>584</v>
      </c>
      <c r="M477" s="12" t="s">
        <v>580</v>
      </c>
      <c r="N477" s="12" t="s">
        <v>581</v>
      </c>
      <c r="O477" s="15"/>
    </row>
    <row r="478">
      <c r="A478" s="18">
        <v>45977.0</v>
      </c>
      <c r="B478" s="9" t="s">
        <v>1063</v>
      </c>
      <c r="C478" s="10">
        <f>+542942409668</f>
        <v>542942409668</v>
      </c>
      <c r="D478" s="9" t="s">
        <v>1064</v>
      </c>
      <c r="E478" s="12" t="s">
        <v>577</v>
      </c>
      <c r="F478" s="14" t="s">
        <v>21</v>
      </c>
      <c r="G478" s="14" t="s">
        <v>25</v>
      </c>
      <c r="H478" s="12" t="s">
        <v>717</v>
      </c>
      <c r="I478" s="12" t="s">
        <v>1065</v>
      </c>
      <c r="K478" s="14" t="s">
        <v>578</v>
      </c>
      <c r="L478" s="9" t="s">
        <v>579</v>
      </c>
      <c r="M478" s="9" t="s">
        <v>580</v>
      </c>
      <c r="N478" s="9" t="s">
        <v>581</v>
      </c>
    </row>
    <row r="479">
      <c r="A479" s="18">
        <v>45977.0</v>
      </c>
      <c r="B479" s="9" t="s">
        <v>1066</v>
      </c>
      <c r="C479" s="10">
        <f>+542966678392</f>
        <v>542966678392</v>
      </c>
      <c r="D479" s="9" t="s">
        <v>1067</v>
      </c>
      <c r="E479" s="12" t="s">
        <v>577</v>
      </c>
      <c r="F479" s="14" t="s">
        <v>21</v>
      </c>
      <c r="G479" s="14" t="s">
        <v>25</v>
      </c>
      <c r="H479" s="12" t="s">
        <v>727</v>
      </c>
      <c r="I479" s="12" t="s">
        <v>1068</v>
      </c>
      <c r="K479" s="14" t="s">
        <v>578</v>
      </c>
      <c r="L479" s="9" t="s">
        <v>579</v>
      </c>
      <c r="M479" s="9" t="s">
        <v>580</v>
      </c>
      <c r="N479" s="9" t="s">
        <v>581</v>
      </c>
    </row>
    <row r="480">
      <c r="A480" s="18">
        <v>45977.0</v>
      </c>
      <c r="B480" s="9" t="s">
        <v>1069</v>
      </c>
      <c r="C480" s="10">
        <f>+543886568240</f>
        <v>543886568240</v>
      </c>
      <c r="D480" s="9" t="s">
        <v>1070</v>
      </c>
      <c r="E480" s="14" t="s">
        <v>24</v>
      </c>
      <c r="F480" s="14" t="s">
        <v>21</v>
      </c>
      <c r="G480" s="14" t="s">
        <v>25</v>
      </c>
      <c r="H480" s="12" t="s">
        <v>717</v>
      </c>
      <c r="I480" s="12" t="s">
        <v>1071</v>
      </c>
      <c r="K480" s="14" t="s">
        <v>578</v>
      </c>
      <c r="L480" s="9" t="s">
        <v>579</v>
      </c>
      <c r="M480" s="9" t="s">
        <v>580</v>
      </c>
      <c r="N480" s="9" t="s">
        <v>585</v>
      </c>
    </row>
    <row r="481">
      <c r="A481" s="18">
        <v>45978.0</v>
      </c>
      <c r="B481" s="9" t="s">
        <v>1072</v>
      </c>
      <c r="C481" s="10">
        <f>+543415617623</f>
        <v>543415617623</v>
      </c>
      <c r="D481" s="9" t="s">
        <v>1073</v>
      </c>
      <c r="E481" s="9" t="s">
        <v>577</v>
      </c>
      <c r="F481" s="14" t="s">
        <v>21</v>
      </c>
      <c r="G481" s="14" t="s">
        <v>18</v>
      </c>
      <c r="H481" s="12" t="s">
        <v>717</v>
      </c>
      <c r="I481" s="9" t="s">
        <v>855</v>
      </c>
      <c r="K481" s="14" t="s">
        <v>578</v>
      </c>
      <c r="L481" s="9" t="s">
        <v>584</v>
      </c>
      <c r="M481" s="9" t="s">
        <v>580</v>
      </c>
      <c r="N481" s="7" t="s">
        <v>585</v>
      </c>
    </row>
    <row r="482">
      <c r="A482" s="18">
        <v>45978.0</v>
      </c>
      <c r="B482" s="9" t="s">
        <v>1074</v>
      </c>
      <c r="C482" s="10">
        <f>+541173687096</f>
        <v>541173687096</v>
      </c>
      <c r="D482" s="9" t="s">
        <v>1075</v>
      </c>
      <c r="E482" s="14" t="s">
        <v>24</v>
      </c>
      <c r="F482" s="14" t="s">
        <v>21</v>
      </c>
      <c r="G482" s="14" t="s">
        <v>18</v>
      </c>
      <c r="H482" s="12" t="s">
        <v>745</v>
      </c>
      <c r="I482" s="9" t="s">
        <v>1076</v>
      </c>
      <c r="K482" s="14" t="s">
        <v>578</v>
      </c>
      <c r="L482" s="9" t="s">
        <v>584</v>
      </c>
      <c r="M482" s="9" t="s">
        <v>580</v>
      </c>
      <c r="N482" s="7" t="s">
        <v>585</v>
      </c>
    </row>
    <row r="483">
      <c r="A483" s="18">
        <v>45978.0</v>
      </c>
      <c r="B483" s="9" t="s">
        <v>1077</v>
      </c>
      <c r="C483" s="10">
        <f>+543476358715</f>
        <v>543476358715</v>
      </c>
      <c r="D483" s="9" t="s">
        <v>1078</v>
      </c>
      <c r="E483" s="14" t="s">
        <v>24</v>
      </c>
      <c r="F483" s="14" t="s">
        <v>21</v>
      </c>
      <c r="G483" s="14" t="s">
        <v>25</v>
      </c>
      <c r="H483" s="12" t="s">
        <v>740</v>
      </c>
      <c r="I483" s="9" t="s">
        <v>780</v>
      </c>
      <c r="K483" s="14" t="s">
        <v>578</v>
      </c>
      <c r="L483" s="9" t="s">
        <v>579</v>
      </c>
      <c r="M483" s="9" t="s">
        <v>580</v>
      </c>
      <c r="N483" s="7" t="s">
        <v>581</v>
      </c>
    </row>
    <row r="484">
      <c r="A484" s="18">
        <v>45978.0</v>
      </c>
      <c r="B484" s="9" t="s">
        <v>1079</v>
      </c>
      <c r="C484" s="11">
        <v>3.425669933E9</v>
      </c>
      <c r="D484" s="9" t="s">
        <v>1080</v>
      </c>
      <c r="E484" s="14" t="s">
        <v>16</v>
      </c>
      <c r="F484" s="14" t="s">
        <v>21</v>
      </c>
      <c r="G484" s="14" t="s">
        <v>18</v>
      </c>
      <c r="H484" s="12" t="s">
        <v>740</v>
      </c>
      <c r="I484" s="9" t="s">
        <v>731</v>
      </c>
      <c r="K484" s="14" t="s">
        <v>578</v>
      </c>
      <c r="L484" s="9" t="s">
        <v>579</v>
      </c>
      <c r="M484" s="9" t="s">
        <v>580</v>
      </c>
      <c r="N484" s="9" t="s">
        <v>585</v>
      </c>
    </row>
    <row r="485">
      <c r="A485" s="18">
        <v>45978.0</v>
      </c>
      <c r="B485" s="9" t="s">
        <v>1081</v>
      </c>
      <c r="C485" s="10">
        <f>+541134227654</f>
        <v>541134227654</v>
      </c>
      <c r="D485" s="9" t="s">
        <v>1082</v>
      </c>
      <c r="E485" s="14" t="s">
        <v>24</v>
      </c>
      <c r="F485" s="14" t="s">
        <v>21</v>
      </c>
      <c r="G485" s="14" t="s">
        <v>18</v>
      </c>
      <c r="H485" s="12" t="s">
        <v>740</v>
      </c>
      <c r="I485" s="9" t="s">
        <v>818</v>
      </c>
      <c r="K485" s="14" t="s">
        <v>578</v>
      </c>
      <c r="L485" s="9" t="s">
        <v>584</v>
      </c>
      <c r="M485" s="9" t="s">
        <v>580</v>
      </c>
      <c r="N485" s="9" t="s">
        <v>585</v>
      </c>
    </row>
    <row r="486">
      <c r="A486" s="18">
        <v>45978.0</v>
      </c>
      <c r="B486" s="9" t="s">
        <v>1083</v>
      </c>
      <c r="C486" s="10">
        <f>+543834360003</f>
        <v>543834360003</v>
      </c>
      <c r="D486" s="9" t="s">
        <v>1084</v>
      </c>
      <c r="E486" s="9" t="s">
        <v>577</v>
      </c>
      <c r="F486" s="14" t="s">
        <v>21</v>
      </c>
      <c r="G486" s="14" t="s">
        <v>25</v>
      </c>
      <c r="H486" s="12" t="s">
        <v>717</v>
      </c>
      <c r="I486" s="9" t="s">
        <v>770</v>
      </c>
      <c r="K486" s="14" t="s">
        <v>1085</v>
      </c>
      <c r="L486" s="9" t="s">
        <v>584</v>
      </c>
      <c r="M486" s="9" t="s">
        <v>580</v>
      </c>
      <c r="N486" s="9" t="s">
        <v>585</v>
      </c>
    </row>
    <row r="487">
      <c r="A487" s="18">
        <v>45979.0</v>
      </c>
      <c r="B487" s="9" t="s">
        <v>1086</v>
      </c>
      <c r="C487" s="10">
        <f>+542966214670</f>
        <v>542966214670</v>
      </c>
      <c r="D487" s="9" t="s">
        <v>1087</v>
      </c>
      <c r="E487" s="14" t="s">
        <v>16</v>
      </c>
      <c r="F487" s="14" t="s">
        <v>21</v>
      </c>
      <c r="G487" s="14" t="s">
        <v>25</v>
      </c>
      <c r="H487" s="12" t="s">
        <v>717</v>
      </c>
      <c r="I487" s="9" t="s">
        <v>1088</v>
      </c>
      <c r="K487" s="14" t="s">
        <v>578</v>
      </c>
      <c r="L487" s="9" t="s">
        <v>579</v>
      </c>
      <c r="M487" s="9" t="s">
        <v>580</v>
      </c>
      <c r="N487" s="9" t="s">
        <v>585</v>
      </c>
    </row>
    <row r="488">
      <c r="A488" s="18">
        <v>45979.0</v>
      </c>
      <c r="B488" s="9" t="s">
        <v>1089</v>
      </c>
      <c r="C488" s="10">
        <f>+543705063447</f>
        <v>543705063447</v>
      </c>
      <c r="D488" s="9" t="s">
        <v>1090</v>
      </c>
      <c r="E488" s="9" t="s">
        <v>577</v>
      </c>
      <c r="F488" s="14" t="s">
        <v>21</v>
      </c>
      <c r="G488" s="14" t="s">
        <v>25</v>
      </c>
      <c r="H488" s="12" t="s">
        <v>745</v>
      </c>
      <c r="I488" s="9" t="s">
        <v>1091</v>
      </c>
      <c r="K488" s="14" t="s">
        <v>578</v>
      </c>
      <c r="L488" s="9" t="s">
        <v>579</v>
      </c>
      <c r="M488" s="9" t="s">
        <v>580</v>
      </c>
      <c r="N488" s="9" t="s">
        <v>581</v>
      </c>
    </row>
    <row r="489">
      <c r="A489" s="18">
        <v>45979.0</v>
      </c>
      <c r="B489" s="9" t="s">
        <v>1092</v>
      </c>
      <c r="C489" s="10">
        <f>+542262221587</f>
        <v>542262221587</v>
      </c>
      <c r="D489" s="9" t="s">
        <v>1093</v>
      </c>
      <c r="E489" s="14" t="s">
        <v>16</v>
      </c>
      <c r="F489" s="14" t="s">
        <v>21</v>
      </c>
      <c r="G489" s="14" t="s">
        <v>25</v>
      </c>
      <c r="H489" s="12" t="s">
        <v>717</v>
      </c>
      <c r="I489" s="9" t="s">
        <v>1094</v>
      </c>
      <c r="K489" s="14" t="s">
        <v>578</v>
      </c>
      <c r="L489" s="9" t="s">
        <v>579</v>
      </c>
      <c r="M489" s="9" t="s">
        <v>580</v>
      </c>
      <c r="N489" s="9" t="s">
        <v>585</v>
      </c>
    </row>
    <row r="490">
      <c r="A490" s="18">
        <v>45979.0</v>
      </c>
      <c r="B490" s="9" t="s">
        <v>1095</v>
      </c>
      <c r="C490" s="10">
        <f>+543516589407</f>
        <v>543516589407</v>
      </c>
      <c r="D490" s="9" t="s">
        <v>1096</v>
      </c>
      <c r="E490" s="14" t="s">
        <v>16</v>
      </c>
      <c r="F490" s="14" t="s">
        <v>21</v>
      </c>
      <c r="G490" s="14" t="s">
        <v>25</v>
      </c>
      <c r="H490" s="12" t="s">
        <v>717</v>
      </c>
      <c r="I490" s="9" t="s">
        <v>1097</v>
      </c>
      <c r="K490" s="14" t="s">
        <v>578</v>
      </c>
      <c r="L490" s="9" t="s">
        <v>579</v>
      </c>
      <c r="M490" s="9" t="s">
        <v>580</v>
      </c>
      <c r="N490" s="9" t="s">
        <v>581</v>
      </c>
    </row>
    <row r="491">
      <c r="A491" s="18">
        <v>45979.0</v>
      </c>
      <c r="B491" s="9" t="s">
        <v>1098</v>
      </c>
      <c r="C491" s="10">
        <f>+543576465514</f>
        <v>543576465514</v>
      </c>
      <c r="D491" s="9" t="s">
        <v>1099</v>
      </c>
      <c r="E491" s="14" t="s">
        <v>16</v>
      </c>
      <c r="F491" s="12" t="s">
        <v>17</v>
      </c>
      <c r="G491" s="14" t="s">
        <v>18</v>
      </c>
      <c r="H491" s="12" t="s">
        <v>745</v>
      </c>
      <c r="I491" s="9" t="s">
        <v>756</v>
      </c>
      <c r="K491" s="14" t="s">
        <v>578</v>
      </c>
      <c r="L491" s="9" t="s">
        <v>579</v>
      </c>
      <c r="M491" s="9" t="s">
        <v>580</v>
      </c>
      <c r="N491" s="9" t="s">
        <v>581</v>
      </c>
    </row>
    <row r="492">
      <c r="A492" s="18">
        <v>45980.0</v>
      </c>
      <c r="B492" s="9" t="s">
        <v>1100</v>
      </c>
      <c r="C492" s="10">
        <f>+541151198605</f>
        <v>541151198605</v>
      </c>
      <c r="D492" s="9" t="s">
        <v>1101</v>
      </c>
      <c r="E492" s="9" t="s">
        <v>577</v>
      </c>
      <c r="F492" s="14" t="s">
        <v>21</v>
      </c>
      <c r="G492" s="14" t="s">
        <v>25</v>
      </c>
      <c r="H492" s="12" t="s">
        <v>717</v>
      </c>
      <c r="I492" s="9" t="s">
        <v>1102</v>
      </c>
      <c r="K492" s="14" t="s">
        <v>578</v>
      </c>
      <c r="L492" s="9" t="s">
        <v>584</v>
      </c>
      <c r="M492" s="7" t="s">
        <v>580</v>
      </c>
      <c r="N492" s="7" t="s">
        <v>585</v>
      </c>
    </row>
    <row r="493">
      <c r="A493" s="18">
        <v>45980.0</v>
      </c>
      <c r="B493" s="9" t="s">
        <v>1103</v>
      </c>
      <c r="C493" s="10">
        <f>+542920507985</f>
        <v>542920507985</v>
      </c>
      <c r="D493" s="9" t="s">
        <v>1104</v>
      </c>
      <c r="E493" s="9" t="s">
        <v>577</v>
      </c>
      <c r="F493" s="12" t="s">
        <v>17</v>
      </c>
      <c r="G493" s="14" t="s">
        <v>25</v>
      </c>
      <c r="H493" s="12" t="s">
        <v>717</v>
      </c>
      <c r="I493" s="9" t="s">
        <v>1105</v>
      </c>
      <c r="K493" s="14" t="s">
        <v>578</v>
      </c>
      <c r="L493" s="9" t="s">
        <v>579</v>
      </c>
      <c r="M493" s="7" t="s">
        <v>1055</v>
      </c>
      <c r="N493" s="7" t="s">
        <v>585</v>
      </c>
    </row>
    <row r="494">
      <c r="A494" s="18">
        <v>45980.0</v>
      </c>
      <c r="B494" s="9" t="s">
        <v>1106</v>
      </c>
      <c r="C494" s="10">
        <f>+543773520112</f>
        <v>543773520112</v>
      </c>
      <c r="D494" s="9" t="s">
        <v>1107</v>
      </c>
      <c r="E494" s="14" t="s">
        <v>16</v>
      </c>
      <c r="F494" s="14" t="s">
        <v>21</v>
      </c>
      <c r="G494" s="14" t="s">
        <v>25</v>
      </c>
      <c r="H494" s="12" t="s">
        <v>717</v>
      </c>
      <c r="I494" s="9" t="s">
        <v>749</v>
      </c>
      <c r="K494" s="14" t="s">
        <v>578</v>
      </c>
      <c r="L494" s="9" t="s">
        <v>584</v>
      </c>
      <c r="M494" s="7" t="s">
        <v>580</v>
      </c>
      <c r="N494" s="7" t="s">
        <v>581</v>
      </c>
    </row>
    <row r="495">
      <c r="A495" s="18">
        <v>45980.0</v>
      </c>
      <c r="B495" s="9" t="s">
        <v>1108</v>
      </c>
      <c r="C495" s="10">
        <f>+542664667730</f>
        <v>542664667730</v>
      </c>
      <c r="D495" s="9" t="s">
        <v>1109</v>
      </c>
      <c r="E495" s="9" t="s">
        <v>577</v>
      </c>
      <c r="F495" s="14" t="s">
        <v>21</v>
      </c>
      <c r="G495" s="14" t="s">
        <v>25</v>
      </c>
      <c r="H495" s="12" t="s">
        <v>717</v>
      </c>
      <c r="I495" s="9" t="s">
        <v>1005</v>
      </c>
      <c r="K495" s="14" t="s">
        <v>578</v>
      </c>
      <c r="L495" s="9" t="s">
        <v>579</v>
      </c>
      <c r="M495" s="7" t="s">
        <v>580</v>
      </c>
      <c r="N495" s="7" t="s">
        <v>585</v>
      </c>
    </row>
    <row r="496">
      <c r="A496" s="18">
        <v>45980.0</v>
      </c>
      <c r="B496" s="9" t="s">
        <v>1110</v>
      </c>
      <c r="C496" s="10">
        <f>+5493755552375</f>
        <v>5493755552375</v>
      </c>
      <c r="D496" s="9" t="s">
        <v>1111</v>
      </c>
      <c r="E496" s="14" t="s">
        <v>16</v>
      </c>
      <c r="F496" s="14" t="s">
        <v>21</v>
      </c>
      <c r="G496" s="14" t="s">
        <v>25</v>
      </c>
      <c r="H496" s="12" t="s">
        <v>717</v>
      </c>
      <c r="I496" s="9" t="s">
        <v>1112</v>
      </c>
      <c r="K496" s="14" t="s">
        <v>578</v>
      </c>
      <c r="L496" s="9" t="s">
        <v>579</v>
      </c>
      <c r="M496" s="7" t="s">
        <v>610</v>
      </c>
      <c r="N496" s="7" t="s">
        <v>581</v>
      </c>
    </row>
    <row r="497">
      <c r="A497" s="18">
        <v>45980.0</v>
      </c>
      <c r="B497" s="9" t="s">
        <v>1113</v>
      </c>
      <c r="C497" s="10">
        <f>+541131546262</f>
        <v>541131546262</v>
      </c>
      <c r="D497" s="9" t="s">
        <v>1114</v>
      </c>
      <c r="E497" s="14" t="s">
        <v>24</v>
      </c>
      <c r="F497" s="14" t="s">
        <v>21</v>
      </c>
      <c r="G497" s="14" t="s">
        <v>25</v>
      </c>
      <c r="H497" s="12" t="s">
        <v>717</v>
      </c>
      <c r="I497" s="9" t="s">
        <v>1115</v>
      </c>
      <c r="K497" s="14" t="s">
        <v>578</v>
      </c>
      <c r="L497" s="9" t="s">
        <v>584</v>
      </c>
      <c r="M497" s="7" t="s">
        <v>1055</v>
      </c>
      <c r="N497" s="7" t="s">
        <v>581</v>
      </c>
    </row>
    <row r="498">
      <c r="A498" s="18">
        <v>45980.0</v>
      </c>
      <c r="B498" s="9" t="s">
        <v>1116</v>
      </c>
      <c r="C498" s="10">
        <f>+542665026706</f>
        <v>542665026706</v>
      </c>
      <c r="D498" s="9" t="s">
        <v>1117</v>
      </c>
      <c r="E498" s="14" t="s">
        <v>24</v>
      </c>
      <c r="F498" s="14" t="s">
        <v>21</v>
      </c>
      <c r="G498" s="14" t="s">
        <v>25</v>
      </c>
      <c r="H498" s="12" t="s">
        <v>727</v>
      </c>
      <c r="I498" s="9" t="s">
        <v>749</v>
      </c>
      <c r="K498" s="14" t="s">
        <v>578</v>
      </c>
      <c r="L498" s="9" t="s">
        <v>579</v>
      </c>
      <c r="M498" s="7" t="s">
        <v>580</v>
      </c>
      <c r="N498" s="7" t="s">
        <v>581</v>
      </c>
    </row>
    <row r="499">
      <c r="A499" s="18">
        <v>45980.0</v>
      </c>
      <c r="B499" s="9" t="s">
        <v>1118</v>
      </c>
      <c r="C499" s="10">
        <f>+541164127099</f>
        <v>541164127099</v>
      </c>
      <c r="D499" s="9" t="s">
        <v>1119</v>
      </c>
      <c r="E499" s="14" t="s">
        <v>16</v>
      </c>
      <c r="F499" s="14" t="s">
        <v>21</v>
      </c>
      <c r="G499" s="14" t="s">
        <v>18</v>
      </c>
      <c r="H499" s="12" t="s">
        <v>717</v>
      </c>
      <c r="I499" s="9" t="s">
        <v>920</v>
      </c>
      <c r="K499" s="14" t="s">
        <v>578</v>
      </c>
      <c r="L499" s="9" t="s">
        <v>584</v>
      </c>
      <c r="M499" s="7" t="s">
        <v>580</v>
      </c>
      <c r="N499" s="7" t="s">
        <v>585</v>
      </c>
    </row>
    <row r="500">
      <c r="A500" s="18">
        <v>45980.0</v>
      </c>
      <c r="B500" s="9" t="s">
        <v>1120</v>
      </c>
      <c r="C500" s="10">
        <f>+5437777562715</f>
        <v>5437777562715</v>
      </c>
      <c r="D500" s="9" t="s">
        <v>1121</v>
      </c>
      <c r="E500" s="14" t="s">
        <v>16</v>
      </c>
      <c r="F500" s="14" t="s">
        <v>21</v>
      </c>
      <c r="G500" s="14" t="s">
        <v>25</v>
      </c>
      <c r="H500" s="12" t="s">
        <v>717</v>
      </c>
      <c r="I500" s="9" t="s">
        <v>1122</v>
      </c>
      <c r="K500" s="14" t="s">
        <v>578</v>
      </c>
      <c r="L500" s="9" t="s">
        <v>579</v>
      </c>
      <c r="M500" s="7" t="s">
        <v>580</v>
      </c>
      <c r="N500" s="7" t="s">
        <v>585</v>
      </c>
    </row>
    <row r="501">
      <c r="A501" s="18">
        <v>45981.0</v>
      </c>
      <c r="B501" s="9" t="s">
        <v>1123</v>
      </c>
      <c r="C501" s="10">
        <f>+543454054576</f>
        <v>543454054576</v>
      </c>
      <c r="D501" s="9" t="s">
        <v>1124</v>
      </c>
      <c r="E501" s="9" t="s">
        <v>577</v>
      </c>
      <c r="F501" s="14" t="s">
        <v>21</v>
      </c>
      <c r="G501" s="14" t="s">
        <v>25</v>
      </c>
      <c r="H501" s="12" t="s">
        <v>717</v>
      </c>
      <c r="I501" s="9" t="s">
        <v>780</v>
      </c>
      <c r="K501" s="14" t="s">
        <v>578</v>
      </c>
      <c r="L501" s="9" t="s">
        <v>579</v>
      </c>
      <c r="M501" s="7" t="s">
        <v>610</v>
      </c>
      <c r="N501" s="7" t="s">
        <v>581</v>
      </c>
    </row>
    <row r="502">
      <c r="A502" s="18">
        <v>45981.0</v>
      </c>
      <c r="B502" s="9" t="s">
        <v>1125</v>
      </c>
      <c r="C502" s="10">
        <f>+542604481610</f>
        <v>542604481610</v>
      </c>
      <c r="D502" s="9" t="s">
        <v>1126</v>
      </c>
      <c r="E502" s="14" t="s">
        <v>16</v>
      </c>
      <c r="F502" s="14" t="s">
        <v>21</v>
      </c>
      <c r="G502" s="14" t="s">
        <v>18</v>
      </c>
      <c r="H502" s="12" t="s">
        <v>745</v>
      </c>
      <c r="I502" s="9" t="s">
        <v>1127</v>
      </c>
      <c r="K502" s="14" t="s">
        <v>578</v>
      </c>
      <c r="L502" s="9" t="s">
        <v>579</v>
      </c>
      <c r="M502" s="7" t="s">
        <v>610</v>
      </c>
      <c r="N502" s="7" t="s">
        <v>585</v>
      </c>
    </row>
    <row r="503">
      <c r="A503" s="18">
        <v>45981.0</v>
      </c>
      <c r="B503" s="12" t="s">
        <v>1128</v>
      </c>
      <c r="C503" s="13">
        <f>+541164471858</f>
        <v>541164471858</v>
      </c>
      <c r="D503" s="12" t="s">
        <v>1129</v>
      </c>
      <c r="E503" s="12" t="s">
        <v>577</v>
      </c>
      <c r="F503" s="14" t="s">
        <v>21</v>
      </c>
      <c r="G503" s="14" t="s">
        <v>25</v>
      </c>
      <c r="H503" s="12" t="s">
        <v>727</v>
      </c>
      <c r="I503" s="12" t="s">
        <v>1130</v>
      </c>
      <c r="J503" s="15"/>
      <c r="K503" s="14" t="s">
        <v>578</v>
      </c>
      <c r="L503" s="12" t="s">
        <v>579</v>
      </c>
      <c r="M503" s="19" t="s">
        <v>580</v>
      </c>
      <c r="N503" s="19" t="s">
        <v>585</v>
      </c>
      <c r="O503" s="15"/>
    </row>
    <row r="504">
      <c r="A504" s="18">
        <v>45981.0</v>
      </c>
      <c r="B504" s="12" t="s">
        <v>1131</v>
      </c>
      <c r="C504" s="13">
        <f>+5492983558613</f>
        <v>5492983558613</v>
      </c>
      <c r="D504" s="12" t="s">
        <v>1132</v>
      </c>
      <c r="E504" s="12" t="s">
        <v>577</v>
      </c>
      <c r="F504" s="14" t="s">
        <v>21</v>
      </c>
      <c r="G504" s="14" t="s">
        <v>18</v>
      </c>
      <c r="H504" s="12" t="s">
        <v>740</v>
      </c>
      <c r="I504" s="12" t="s">
        <v>818</v>
      </c>
      <c r="J504" s="15"/>
      <c r="K504" s="14" t="s">
        <v>578</v>
      </c>
      <c r="L504" s="12" t="s">
        <v>584</v>
      </c>
      <c r="M504" s="19" t="s">
        <v>580</v>
      </c>
      <c r="N504" s="19" t="s">
        <v>585</v>
      </c>
      <c r="O504" s="15"/>
    </row>
    <row r="505">
      <c r="A505" s="18">
        <v>45981.0</v>
      </c>
      <c r="B505" s="12" t="s">
        <v>1133</v>
      </c>
      <c r="C505" s="13">
        <f>+5493804262550</f>
        <v>5493804262550</v>
      </c>
      <c r="D505" s="12" t="s">
        <v>1134</v>
      </c>
      <c r="E505" s="12" t="s">
        <v>577</v>
      </c>
      <c r="F505" s="14" t="s">
        <v>21</v>
      </c>
      <c r="G505" s="14" t="s">
        <v>25</v>
      </c>
      <c r="H505" s="12" t="s">
        <v>717</v>
      </c>
      <c r="I505" s="12" t="s">
        <v>756</v>
      </c>
      <c r="J505" s="15"/>
      <c r="K505" s="14" t="s">
        <v>578</v>
      </c>
      <c r="L505" s="12" t="s">
        <v>579</v>
      </c>
      <c r="M505" s="19" t="s">
        <v>580</v>
      </c>
      <c r="N505" s="19" t="s">
        <v>581</v>
      </c>
      <c r="O505" s="15"/>
    </row>
    <row r="506">
      <c r="A506" s="18">
        <v>45981.0</v>
      </c>
      <c r="B506" s="12" t="s">
        <v>1135</v>
      </c>
      <c r="C506" s="17">
        <v>2.291405453E9</v>
      </c>
      <c r="D506" s="12" t="s">
        <v>1136</v>
      </c>
      <c r="E506" s="12" t="s">
        <v>577</v>
      </c>
      <c r="F506" s="14" t="s">
        <v>21</v>
      </c>
      <c r="G506" s="14" t="s">
        <v>18</v>
      </c>
      <c r="H506" s="12" t="s">
        <v>717</v>
      </c>
      <c r="I506" s="12" t="s">
        <v>1137</v>
      </c>
      <c r="J506" s="15"/>
      <c r="K506" s="14" t="s">
        <v>578</v>
      </c>
      <c r="L506" s="12" t="s">
        <v>579</v>
      </c>
      <c r="M506" s="19" t="s">
        <v>580</v>
      </c>
      <c r="N506" s="19" t="s">
        <v>585</v>
      </c>
      <c r="O506" s="15"/>
    </row>
    <row r="507">
      <c r="A507" s="18">
        <v>45981.0</v>
      </c>
      <c r="B507" s="12" t="s">
        <v>1138</v>
      </c>
      <c r="C507" s="13">
        <f>+541133675130</f>
        <v>541133675130</v>
      </c>
      <c r="D507" s="12" t="s">
        <v>1139</v>
      </c>
      <c r="E507" s="14" t="s">
        <v>24</v>
      </c>
      <c r="F507" s="14" t="s">
        <v>21</v>
      </c>
      <c r="G507" s="14" t="s">
        <v>25</v>
      </c>
      <c r="H507" s="12" t="s">
        <v>717</v>
      </c>
      <c r="I507" s="12" t="s">
        <v>1140</v>
      </c>
      <c r="J507" s="15"/>
      <c r="K507" s="14" t="s">
        <v>578</v>
      </c>
      <c r="L507" s="12" t="s">
        <v>584</v>
      </c>
      <c r="M507" s="12" t="s">
        <v>580</v>
      </c>
      <c r="N507" s="12" t="s">
        <v>581</v>
      </c>
      <c r="O507" s="15"/>
    </row>
    <row r="508">
      <c r="A508" s="18">
        <v>45982.0</v>
      </c>
      <c r="B508" s="12" t="s">
        <v>1141</v>
      </c>
      <c r="C508" s="13">
        <f>+54591157439204</f>
        <v>54591157439204</v>
      </c>
      <c r="D508" s="12" t="s">
        <v>1142</v>
      </c>
      <c r="E508" s="14" t="s">
        <v>24</v>
      </c>
      <c r="F508" s="14" t="s">
        <v>21</v>
      </c>
      <c r="G508" s="14" t="s">
        <v>25</v>
      </c>
      <c r="H508" s="12" t="s">
        <v>717</v>
      </c>
      <c r="I508" s="12" t="s">
        <v>1143</v>
      </c>
      <c r="J508" s="15"/>
      <c r="K508" s="14" t="s">
        <v>578</v>
      </c>
      <c r="L508" s="12" t="s">
        <v>584</v>
      </c>
      <c r="M508" s="12" t="s">
        <v>580</v>
      </c>
      <c r="N508" s="12" t="s">
        <v>585</v>
      </c>
      <c r="O508" s="15"/>
    </row>
    <row r="509">
      <c r="A509" s="18">
        <v>45982.0</v>
      </c>
      <c r="B509" s="12" t="s">
        <v>1144</v>
      </c>
      <c r="C509" s="13">
        <f>+542235250828</f>
        <v>542235250828</v>
      </c>
      <c r="D509" s="12" t="s">
        <v>1145</v>
      </c>
      <c r="E509" s="14" t="s">
        <v>24</v>
      </c>
      <c r="F509" s="14" t="s">
        <v>21</v>
      </c>
      <c r="G509" s="14" t="s">
        <v>18</v>
      </c>
      <c r="H509" s="12" t="s">
        <v>740</v>
      </c>
      <c r="I509" s="12" t="s">
        <v>855</v>
      </c>
      <c r="J509" s="15"/>
      <c r="K509" s="14" t="s">
        <v>578</v>
      </c>
      <c r="L509" s="12" t="s">
        <v>579</v>
      </c>
      <c r="M509" s="12" t="s">
        <v>580</v>
      </c>
      <c r="N509" s="12" t="s">
        <v>581</v>
      </c>
      <c r="O509" s="15"/>
    </row>
    <row r="510">
      <c r="A510" s="18">
        <v>45982.0</v>
      </c>
      <c r="B510" s="12" t="s">
        <v>1146</v>
      </c>
      <c r="C510" s="13">
        <f>+541123256662</f>
        <v>541123256662</v>
      </c>
      <c r="D510" s="12" t="s">
        <v>1147</v>
      </c>
      <c r="E510" s="12" t="s">
        <v>577</v>
      </c>
      <c r="F510" s="14" t="s">
        <v>21</v>
      </c>
      <c r="G510" s="14" t="s">
        <v>25</v>
      </c>
      <c r="H510" s="12" t="s">
        <v>717</v>
      </c>
      <c r="I510" s="12" t="s">
        <v>1148</v>
      </c>
      <c r="J510" s="15"/>
      <c r="K510" s="14" t="s">
        <v>578</v>
      </c>
      <c r="L510" s="12" t="s">
        <v>584</v>
      </c>
      <c r="M510" s="12" t="s">
        <v>624</v>
      </c>
      <c r="N510" s="12" t="s">
        <v>581</v>
      </c>
      <c r="O510" s="15"/>
    </row>
    <row r="511">
      <c r="A511" s="18">
        <v>45982.0</v>
      </c>
      <c r="B511" s="12" t="s">
        <v>1149</v>
      </c>
      <c r="C511" s="13">
        <f>+542914299548</f>
        <v>542914299548</v>
      </c>
      <c r="D511" s="12" t="s">
        <v>1150</v>
      </c>
      <c r="E511" s="14" t="s">
        <v>16</v>
      </c>
      <c r="F511" s="12" t="s">
        <v>17</v>
      </c>
      <c r="G511" s="14" t="s">
        <v>18</v>
      </c>
      <c r="H511" s="12" t="s">
        <v>727</v>
      </c>
      <c r="I511" s="12" t="s">
        <v>734</v>
      </c>
      <c r="J511" s="15"/>
      <c r="K511" s="14" t="s">
        <v>578</v>
      </c>
      <c r="L511" s="12" t="s">
        <v>579</v>
      </c>
      <c r="M511" s="12" t="s">
        <v>580</v>
      </c>
      <c r="N511" s="12" t="s">
        <v>585</v>
      </c>
      <c r="O511" s="15"/>
    </row>
    <row r="512">
      <c r="A512" s="18">
        <v>45982.0</v>
      </c>
      <c r="B512" s="12" t="s">
        <v>1151</v>
      </c>
      <c r="C512" s="17">
        <v>3.425111974E9</v>
      </c>
      <c r="D512" s="12" t="s">
        <v>1152</v>
      </c>
      <c r="E512" s="12" t="s">
        <v>577</v>
      </c>
      <c r="F512" s="14" t="s">
        <v>21</v>
      </c>
      <c r="G512" s="14" t="s">
        <v>18</v>
      </c>
      <c r="H512" s="12" t="s">
        <v>717</v>
      </c>
      <c r="I512" s="12" t="s">
        <v>1153</v>
      </c>
      <c r="J512" s="15"/>
      <c r="K512" s="14" t="s">
        <v>578</v>
      </c>
      <c r="L512" s="12" t="s">
        <v>579</v>
      </c>
      <c r="M512" s="12" t="s">
        <v>580</v>
      </c>
      <c r="N512" s="12" t="s">
        <v>585</v>
      </c>
      <c r="O512" s="15"/>
    </row>
    <row r="513">
      <c r="A513" s="18">
        <v>45982.0</v>
      </c>
      <c r="B513" s="12" t="s">
        <v>1154</v>
      </c>
      <c r="C513" s="13">
        <f>+543794120486</f>
        <v>543794120486</v>
      </c>
      <c r="D513" s="12" t="s">
        <v>1155</v>
      </c>
      <c r="E513" s="14" t="s">
        <v>16</v>
      </c>
      <c r="F513" s="14" t="s">
        <v>21</v>
      </c>
      <c r="G513" s="14" t="s">
        <v>18</v>
      </c>
      <c r="H513" s="12" t="s">
        <v>717</v>
      </c>
      <c r="I513" s="12" t="s">
        <v>1156</v>
      </c>
      <c r="J513" s="15"/>
      <c r="K513" s="14" t="s">
        <v>578</v>
      </c>
      <c r="L513" s="12" t="s">
        <v>579</v>
      </c>
      <c r="M513" s="12" t="s">
        <v>580</v>
      </c>
      <c r="N513" s="12" t="s">
        <v>581</v>
      </c>
      <c r="O513" s="15"/>
    </row>
    <row r="514">
      <c r="A514" s="18">
        <v>45982.0</v>
      </c>
      <c r="B514" s="12" t="s">
        <v>1157</v>
      </c>
      <c r="C514" s="13">
        <f>+543775464320</f>
        <v>543775464320</v>
      </c>
      <c r="D514" s="12" t="s">
        <v>1158</v>
      </c>
      <c r="E514" s="14" t="s">
        <v>24</v>
      </c>
      <c r="F514" s="14" t="s">
        <v>21</v>
      </c>
      <c r="G514" s="14" t="s">
        <v>18</v>
      </c>
      <c r="H514" s="12" t="s">
        <v>745</v>
      </c>
      <c r="I514" s="12" t="s">
        <v>818</v>
      </c>
      <c r="J514" s="15"/>
      <c r="K514" s="14" t="s">
        <v>578</v>
      </c>
      <c r="L514" s="12" t="s">
        <v>579</v>
      </c>
      <c r="M514" s="12" t="s">
        <v>580</v>
      </c>
      <c r="N514" s="12" t="s">
        <v>585</v>
      </c>
      <c r="O514" s="15"/>
    </row>
    <row r="515">
      <c r="A515" s="18">
        <v>45982.0</v>
      </c>
      <c r="B515" s="12" t="s">
        <v>1159</v>
      </c>
      <c r="C515" s="13">
        <f>+543885218478</f>
        <v>543885218478</v>
      </c>
      <c r="D515" s="12" t="s">
        <v>1160</v>
      </c>
      <c r="E515" s="14" t="s">
        <v>16</v>
      </c>
      <c r="F515" s="12" t="s">
        <v>17</v>
      </c>
      <c r="G515" s="14" t="s">
        <v>25</v>
      </c>
      <c r="H515" s="12" t="s">
        <v>745</v>
      </c>
      <c r="I515" s="12" t="s">
        <v>1161</v>
      </c>
      <c r="J515" s="15"/>
      <c r="K515" s="14" t="s">
        <v>578</v>
      </c>
      <c r="L515" s="12" t="s">
        <v>584</v>
      </c>
      <c r="M515" s="12" t="s">
        <v>580</v>
      </c>
      <c r="N515" s="12" t="s">
        <v>585</v>
      </c>
      <c r="O515" s="15"/>
    </row>
    <row r="516">
      <c r="A516" s="18">
        <v>45982.0</v>
      </c>
      <c r="B516" s="12" t="s">
        <v>1162</v>
      </c>
      <c r="C516" s="13">
        <f>+543517550374</f>
        <v>543517550374</v>
      </c>
      <c r="D516" s="12" t="s">
        <v>1163</v>
      </c>
      <c r="E516" s="14" t="s">
        <v>16</v>
      </c>
      <c r="F516" s="14" t="s">
        <v>32</v>
      </c>
      <c r="G516" s="14" t="s">
        <v>25</v>
      </c>
      <c r="H516" s="12" t="s">
        <v>745</v>
      </c>
      <c r="I516" s="12" t="s">
        <v>992</v>
      </c>
      <c r="J516" s="15"/>
      <c r="K516" s="14" t="s">
        <v>578</v>
      </c>
      <c r="L516" s="12" t="s">
        <v>579</v>
      </c>
      <c r="M516" s="12" t="s">
        <v>580</v>
      </c>
      <c r="N516" s="12" t="s">
        <v>585</v>
      </c>
      <c r="O516" s="15"/>
    </row>
    <row r="517">
      <c r="A517" s="18">
        <v>45982.0</v>
      </c>
      <c r="B517" s="12" t="s">
        <v>1164</v>
      </c>
      <c r="C517" s="13">
        <f>+543415690896</f>
        <v>543415690896</v>
      </c>
      <c r="D517" s="12" t="s">
        <v>1165</v>
      </c>
      <c r="E517" s="14" t="s">
        <v>16</v>
      </c>
      <c r="F517" s="14" t="s">
        <v>21</v>
      </c>
      <c r="G517" s="14" t="s">
        <v>18</v>
      </c>
      <c r="H517" s="12" t="s">
        <v>717</v>
      </c>
      <c r="I517" s="12" t="s">
        <v>1166</v>
      </c>
      <c r="J517" s="15"/>
      <c r="K517" s="14" t="s">
        <v>578</v>
      </c>
      <c r="L517" s="12" t="s">
        <v>579</v>
      </c>
      <c r="M517" s="12" t="s">
        <v>580</v>
      </c>
      <c r="N517" s="12" t="s">
        <v>585</v>
      </c>
      <c r="O517" s="15"/>
    </row>
    <row r="518">
      <c r="A518" s="18">
        <v>45982.0</v>
      </c>
      <c r="B518" s="12" t="s">
        <v>1167</v>
      </c>
      <c r="C518" s="17">
        <v>3.584415731E9</v>
      </c>
      <c r="D518" s="12" t="s">
        <v>1168</v>
      </c>
      <c r="E518" s="14" t="s">
        <v>16</v>
      </c>
      <c r="F518" s="14" t="s">
        <v>21</v>
      </c>
      <c r="G518" s="14" t="s">
        <v>18</v>
      </c>
      <c r="H518" s="12" t="s">
        <v>727</v>
      </c>
      <c r="I518" s="12" t="s">
        <v>1169</v>
      </c>
      <c r="J518" s="15"/>
      <c r="K518" s="14" t="s">
        <v>578</v>
      </c>
      <c r="L518" s="12" t="s">
        <v>579</v>
      </c>
      <c r="M518" s="12" t="s">
        <v>610</v>
      </c>
      <c r="N518" s="12" t="s">
        <v>585</v>
      </c>
      <c r="O518" s="15"/>
    </row>
    <row r="519">
      <c r="A519" s="18">
        <v>45982.0</v>
      </c>
      <c r="B519" s="12" t="s">
        <v>1170</v>
      </c>
      <c r="C519" s="13">
        <f>+543517452829</f>
        <v>543517452829</v>
      </c>
      <c r="D519" s="12" t="s">
        <v>1171</v>
      </c>
      <c r="E519" s="14" t="s">
        <v>24</v>
      </c>
      <c r="F519" s="14" t="s">
        <v>21</v>
      </c>
      <c r="G519" s="14" t="s">
        <v>25</v>
      </c>
      <c r="H519" s="12" t="s">
        <v>727</v>
      </c>
      <c r="I519" s="12" t="s">
        <v>718</v>
      </c>
      <c r="J519" s="15"/>
      <c r="K519" s="14" t="s">
        <v>578</v>
      </c>
      <c r="L519" s="12" t="s">
        <v>579</v>
      </c>
      <c r="M519" s="12" t="s">
        <v>610</v>
      </c>
      <c r="N519" s="12" t="s">
        <v>585</v>
      </c>
      <c r="O519" s="15"/>
    </row>
    <row r="520">
      <c r="A520" s="18">
        <v>45982.0</v>
      </c>
      <c r="B520" s="12" t="s">
        <v>1172</v>
      </c>
      <c r="C520" s="13">
        <f>+543364365320</f>
        <v>543364365320</v>
      </c>
      <c r="D520" s="12" t="s">
        <v>1173</v>
      </c>
      <c r="E520" s="12" t="s">
        <v>577</v>
      </c>
      <c r="F520" s="14" t="s">
        <v>21</v>
      </c>
      <c r="G520" s="14" t="s">
        <v>25</v>
      </c>
      <c r="H520" s="12" t="s">
        <v>717</v>
      </c>
      <c r="I520" s="12" t="s">
        <v>1174</v>
      </c>
      <c r="J520" s="15"/>
      <c r="K520" s="14" t="s">
        <v>578</v>
      </c>
      <c r="L520" s="12" t="s">
        <v>579</v>
      </c>
      <c r="M520" s="12" t="s">
        <v>610</v>
      </c>
      <c r="N520" s="12" t="s">
        <v>585</v>
      </c>
      <c r="O520" s="15"/>
    </row>
    <row r="521">
      <c r="A521" s="18">
        <v>45983.0</v>
      </c>
      <c r="B521" s="12" t="s">
        <v>1175</v>
      </c>
      <c r="C521" s="13">
        <f>+543755419789</f>
        <v>543755419789</v>
      </c>
      <c r="D521" s="12" t="s">
        <v>1176</v>
      </c>
      <c r="E521" s="14" t="s">
        <v>16</v>
      </c>
      <c r="F521" s="14" t="s">
        <v>21</v>
      </c>
      <c r="G521" s="14" t="s">
        <v>25</v>
      </c>
      <c r="H521" s="12" t="s">
        <v>717</v>
      </c>
      <c r="I521" s="12" t="s">
        <v>1177</v>
      </c>
      <c r="J521" s="15"/>
      <c r="K521" s="14" t="s">
        <v>578</v>
      </c>
      <c r="L521" s="12" t="s">
        <v>579</v>
      </c>
      <c r="M521" s="12" t="s">
        <v>610</v>
      </c>
      <c r="N521" s="12" t="s">
        <v>585</v>
      </c>
      <c r="O521" s="15"/>
    </row>
    <row r="522">
      <c r="A522" s="18">
        <v>45983.0</v>
      </c>
      <c r="B522" s="12" t="s">
        <v>1178</v>
      </c>
      <c r="C522" s="13">
        <f>+541134981000</f>
        <v>541134981000</v>
      </c>
      <c r="D522" s="12" t="s">
        <v>138</v>
      </c>
      <c r="E522" s="14" t="s">
        <v>24</v>
      </c>
      <c r="F522" s="14" t="s">
        <v>21</v>
      </c>
      <c r="G522" s="14" t="s">
        <v>25</v>
      </c>
      <c r="H522" s="12" t="s">
        <v>717</v>
      </c>
      <c r="I522" s="12" t="s">
        <v>780</v>
      </c>
      <c r="J522" s="15"/>
      <c r="K522" s="14" t="s">
        <v>578</v>
      </c>
      <c r="L522" s="12" t="s">
        <v>584</v>
      </c>
      <c r="M522" s="12" t="s">
        <v>1055</v>
      </c>
      <c r="N522" s="12" t="s">
        <v>581</v>
      </c>
      <c r="O522" s="15"/>
    </row>
    <row r="523">
      <c r="A523" s="18">
        <v>45983.0</v>
      </c>
      <c r="B523" s="12" t="s">
        <v>1179</v>
      </c>
      <c r="C523" s="13">
        <f>+541122430007</f>
        <v>541122430007</v>
      </c>
      <c r="D523" s="12" t="s">
        <v>1180</v>
      </c>
      <c r="E523" s="14" t="s">
        <v>16</v>
      </c>
      <c r="F523" s="12" t="s">
        <v>17</v>
      </c>
      <c r="G523" s="12" t="s">
        <v>1045</v>
      </c>
      <c r="H523" s="12" t="s">
        <v>740</v>
      </c>
      <c r="I523" s="12" t="s">
        <v>1181</v>
      </c>
      <c r="J523" s="15"/>
      <c r="K523" s="14" t="s">
        <v>578</v>
      </c>
      <c r="L523" s="12" t="s">
        <v>584</v>
      </c>
      <c r="M523" s="12" t="s">
        <v>1055</v>
      </c>
      <c r="N523" s="12" t="s">
        <v>581</v>
      </c>
      <c r="O523" s="15"/>
    </row>
    <row r="524">
      <c r="A524" s="18">
        <v>45983.0</v>
      </c>
      <c r="B524" s="12" t="s">
        <v>1182</v>
      </c>
      <c r="C524" s="13">
        <f>+541131468339</f>
        <v>541131468339</v>
      </c>
      <c r="D524" s="12" t="s">
        <v>1183</v>
      </c>
      <c r="E524" s="12" t="s">
        <v>577</v>
      </c>
      <c r="F524" s="14" t="s">
        <v>21</v>
      </c>
      <c r="G524" s="14" t="s">
        <v>25</v>
      </c>
      <c r="H524" s="12" t="s">
        <v>745</v>
      </c>
      <c r="I524" s="12" t="s">
        <v>1184</v>
      </c>
      <c r="J524" s="15"/>
      <c r="K524" s="14" t="s">
        <v>578</v>
      </c>
      <c r="L524" s="12" t="s">
        <v>584</v>
      </c>
      <c r="M524" s="12" t="s">
        <v>1055</v>
      </c>
      <c r="N524" s="12" t="s">
        <v>581</v>
      </c>
      <c r="O524" s="15"/>
    </row>
    <row r="525">
      <c r="A525" s="18">
        <v>45983.0</v>
      </c>
      <c r="B525" s="12" t="s">
        <v>1185</v>
      </c>
      <c r="C525" s="13">
        <f>+5493534063749</f>
        <v>5493534063749</v>
      </c>
      <c r="D525" s="12" t="s">
        <v>1186</v>
      </c>
      <c r="E525" s="12" t="s">
        <v>577</v>
      </c>
      <c r="F525" s="14" t="s">
        <v>21</v>
      </c>
      <c r="G525" s="14" t="s">
        <v>18</v>
      </c>
      <c r="H525" s="12" t="s">
        <v>727</v>
      </c>
      <c r="I525" s="12" t="s">
        <v>855</v>
      </c>
      <c r="J525" s="15"/>
      <c r="K525" s="14" t="s">
        <v>578</v>
      </c>
      <c r="L525" s="12" t="s">
        <v>579</v>
      </c>
      <c r="M525" s="12" t="s">
        <v>580</v>
      </c>
      <c r="N525" s="12" t="s">
        <v>581</v>
      </c>
      <c r="O525" s="15"/>
    </row>
    <row r="526">
      <c r="A526" s="18">
        <v>45983.0</v>
      </c>
      <c r="B526" s="12" t="s">
        <v>1187</v>
      </c>
      <c r="C526" s="13">
        <f>+543415315032</f>
        <v>543415315032</v>
      </c>
      <c r="D526" s="12" t="s">
        <v>1188</v>
      </c>
      <c r="E526" s="14" t="s">
        <v>24</v>
      </c>
      <c r="F526" s="14" t="s">
        <v>21</v>
      </c>
      <c r="G526" s="14" t="s">
        <v>25</v>
      </c>
      <c r="H526" s="12" t="s">
        <v>727</v>
      </c>
      <c r="I526" s="12" t="s">
        <v>1189</v>
      </c>
      <c r="J526" s="15"/>
      <c r="K526" s="14" t="s">
        <v>578</v>
      </c>
      <c r="L526" s="12" t="s">
        <v>579</v>
      </c>
      <c r="M526" s="12" t="s">
        <v>580</v>
      </c>
      <c r="N526" s="12" t="s">
        <v>581</v>
      </c>
      <c r="O526" s="15"/>
    </row>
    <row r="527">
      <c r="A527" s="18">
        <v>45983.0</v>
      </c>
      <c r="B527" s="12" t="s">
        <v>1190</v>
      </c>
      <c r="C527" s="13">
        <f>+5492975095313</f>
        <v>5492975095313</v>
      </c>
      <c r="D527" s="12" t="s">
        <v>1191</v>
      </c>
      <c r="E527" s="14" t="s">
        <v>24</v>
      </c>
      <c r="F527" s="14" t="s">
        <v>21</v>
      </c>
      <c r="G527" s="14" t="s">
        <v>25</v>
      </c>
      <c r="H527" s="12" t="s">
        <v>745</v>
      </c>
      <c r="I527" s="12" t="s">
        <v>1192</v>
      </c>
      <c r="J527" s="15"/>
      <c r="K527" s="14" t="s">
        <v>578</v>
      </c>
      <c r="L527" s="12" t="s">
        <v>579</v>
      </c>
      <c r="M527" s="12" t="s">
        <v>580</v>
      </c>
      <c r="N527" s="12" t="s">
        <v>581</v>
      </c>
      <c r="O527" s="15"/>
    </row>
    <row r="528">
      <c r="A528" s="18">
        <v>45983.0</v>
      </c>
      <c r="B528" s="12" t="s">
        <v>1193</v>
      </c>
      <c r="C528" s="13">
        <f>+543444503984</f>
        <v>543444503984</v>
      </c>
      <c r="D528" s="12" t="s">
        <v>1194</v>
      </c>
      <c r="E528" s="14" t="s">
        <v>24</v>
      </c>
      <c r="F528" s="14" t="s">
        <v>21</v>
      </c>
      <c r="G528" s="14" t="s">
        <v>18</v>
      </c>
      <c r="H528" s="12" t="s">
        <v>717</v>
      </c>
      <c r="I528" s="12" t="s">
        <v>1195</v>
      </c>
      <c r="J528" s="15"/>
      <c r="K528" s="14" t="s">
        <v>578</v>
      </c>
      <c r="L528" s="12" t="s">
        <v>584</v>
      </c>
      <c r="M528" s="12" t="s">
        <v>580</v>
      </c>
      <c r="N528" s="12" t="s">
        <v>581</v>
      </c>
      <c r="O528" s="15"/>
    </row>
    <row r="529">
      <c r="A529" s="18">
        <v>45983.0</v>
      </c>
      <c r="B529" s="12" t="s">
        <v>1196</v>
      </c>
      <c r="C529" s="13">
        <f>+541155136120</f>
        <v>541155136120</v>
      </c>
      <c r="D529" s="12" t="s">
        <v>1197</v>
      </c>
      <c r="E529" s="14" t="s">
        <v>24</v>
      </c>
      <c r="F529" s="14" t="s">
        <v>21</v>
      </c>
      <c r="G529" s="14" t="s">
        <v>25</v>
      </c>
      <c r="H529" s="12" t="s">
        <v>717</v>
      </c>
      <c r="I529" s="12" t="s">
        <v>1143</v>
      </c>
      <c r="J529" s="15"/>
      <c r="K529" s="14" t="s">
        <v>578</v>
      </c>
      <c r="L529" s="12" t="s">
        <v>584</v>
      </c>
      <c r="M529" s="12" t="s">
        <v>580</v>
      </c>
      <c r="N529" s="12" t="s">
        <v>585</v>
      </c>
      <c r="O529" s="15"/>
    </row>
    <row r="530">
      <c r="A530" s="18">
        <v>45983.0</v>
      </c>
      <c r="B530" s="12" t="s">
        <v>1198</v>
      </c>
      <c r="C530" s="13">
        <f>+5411459540004</f>
        <v>5411459540004</v>
      </c>
      <c r="D530" s="12" t="s">
        <v>1199</v>
      </c>
      <c r="E530" s="14" t="s">
        <v>24</v>
      </c>
      <c r="F530" s="14" t="s">
        <v>21</v>
      </c>
      <c r="G530" s="14" t="s">
        <v>18</v>
      </c>
      <c r="H530" s="12" t="s">
        <v>717</v>
      </c>
      <c r="I530" s="12" t="s">
        <v>818</v>
      </c>
      <c r="J530" s="15"/>
      <c r="K530" s="14" t="s">
        <v>578</v>
      </c>
      <c r="L530" s="12" t="s">
        <v>584</v>
      </c>
      <c r="M530" s="12" t="s">
        <v>580</v>
      </c>
      <c r="N530" s="12" t="s">
        <v>585</v>
      </c>
      <c r="O530" s="15"/>
    </row>
    <row r="531">
      <c r="A531" s="18">
        <v>45983.0</v>
      </c>
      <c r="B531" s="12" t="s">
        <v>1200</v>
      </c>
      <c r="C531" s="13">
        <f>+543718632083</f>
        <v>543718632083</v>
      </c>
      <c r="D531" s="12" t="s">
        <v>1201</v>
      </c>
      <c r="E531" s="14" t="s">
        <v>24</v>
      </c>
      <c r="F531" s="14" t="s">
        <v>21</v>
      </c>
      <c r="G531" s="14" t="s">
        <v>18</v>
      </c>
      <c r="H531" s="12" t="s">
        <v>740</v>
      </c>
      <c r="I531" s="12" t="s">
        <v>734</v>
      </c>
      <c r="J531" s="15"/>
      <c r="K531" s="14" t="s">
        <v>578</v>
      </c>
      <c r="L531" s="12" t="s">
        <v>579</v>
      </c>
      <c r="M531" s="12" t="s">
        <v>580</v>
      </c>
      <c r="N531" s="12" t="s">
        <v>581</v>
      </c>
      <c r="O531" s="15"/>
    </row>
    <row r="532">
      <c r="A532" s="18">
        <v>45984.0</v>
      </c>
      <c r="B532" s="12" t="s">
        <v>1202</v>
      </c>
      <c r="C532" s="13">
        <f>+541170047528</f>
        <v>541170047528</v>
      </c>
      <c r="D532" s="12" t="s">
        <v>1203</v>
      </c>
      <c r="E532" s="14" t="s">
        <v>16</v>
      </c>
      <c r="F532" s="14" t="s">
        <v>21</v>
      </c>
      <c r="G532" s="14" t="s">
        <v>25</v>
      </c>
      <c r="H532" s="12" t="s">
        <v>745</v>
      </c>
      <c r="I532" s="12" t="s">
        <v>728</v>
      </c>
      <c r="J532" s="15"/>
      <c r="K532" s="14" t="s">
        <v>578</v>
      </c>
      <c r="L532" s="12" t="s">
        <v>584</v>
      </c>
      <c r="M532" s="12" t="s">
        <v>1055</v>
      </c>
      <c r="N532" s="12" t="s">
        <v>581</v>
      </c>
      <c r="O532" s="15"/>
    </row>
    <row r="533">
      <c r="A533" s="18">
        <v>45984.0</v>
      </c>
      <c r="B533" s="12" t="s">
        <v>1204</v>
      </c>
      <c r="C533" s="13">
        <f>+543624712496</f>
        <v>543624712496</v>
      </c>
      <c r="D533" s="12" t="s">
        <v>1205</v>
      </c>
      <c r="E533" s="12" t="s">
        <v>577</v>
      </c>
      <c r="F533" s="14" t="s">
        <v>21</v>
      </c>
      <c r="G533" s="14" t="s">
        <v>25</v>
      </c>
      <c r="H533" s="12" t="s">
        <v>717</v>
      </c>
      <c r="I533" s="12" t="s">
        <v>1206</v>
      </c>
      <c r="J533" s="15"/>
      <c r="K533" s="14" t="s">
        <v>578</v>
      </c>
      <c r="L533" s="12" t="s">
        <v>579</v>
      </c>
      <c r="M533" s="12" t="s">
        <v>610</v>
      </c>
      <c r="N533" s="12" t="s">
        <v>581</v>
      </c>
      <c r="O533" s="15"/>
    </row>
    <row r="534">
      <c r="A534" s="18">
        <v>45984.0</v>
      </c>
      <c r="B534" s="12" t="s">
        <v>1207</v>
      </c>
      <c r="C534" s="13">
        <f>+543515503406</f>
        <v>543515503406</v>
      </c>
      <c r="D534" s="12" t="s">
        <v>1208</v>
      </c>
      <c r="E534" s="14" t="s">
        <v>24</v>
      </c>
      <c r="F534" s="14" t="s">
        <v>21</v>
      </c>
      <c r="G534" s="14" t="s">
        <v>25</v>
      </c>
      <c r="H534" s="12" t="s">
        <v>717</v>
      </c>
      <c r="I534" s="12" t="s">
        <v>1209</v>
      </c>
      <c r="J534" s="15"/>
      <c r="K534" s="14" t="s">
        <v>578</v>
      </c>
      <c r="L534" s="12" t="s">
        <v>579</v>
      </c>
      <c r="M534" s="12" t="s">
        <v>624</v>
      </c>
      <c r="N534" s="12" t="s">
        <v>581</v>
      </c>
      <c r="O534" s="15"/>
    </row>
    <row r="535">
      <c r="A535" s="18">
        <v>45984.0</v>
      </c>
      <c r="B535" s="12" t="s">
        <v>1210</v>
      </c>
      <c r="C535" s="13">
        <f>+541141727859</f>
        <v>541141727859</v>
      </c>
      <c r="D535" s="12" t="s">
        <v>1211</v>
      </c>
      <c r="E535" s="14" t="s">
        <v>24</v>
      </c>
      <c r="F535" s="14" t="s">
        <v>21</v>
      </c>
      <c r="G535" s="14" t="s">
        <v>18</v>
      </c>
      <c r="H535" s="12" t="s">
        <v>717</v>
      </c>
      <c r="I535" s="12" t="s">
        <v>734</v>
      </c>
      <c r="J535" s="15"/>
      <c r="K535" s="14" t="s">
        <v>578</v>
      </c>
      <c r="L535" s="12" t="s">
        <v>584</v>
      </c>
      <c r="M535" s="12" t="s">
        <v>580</v>
      </c>
      <c r="N535" s="12" t="s">
        <v>585</v>
      </c>
      <c r="O535" s="15"/>
    </row>
    <row r="536">
      <c r="A536" s="18">
        <v>45984.0</v>
      </c>
      <c r="B536" s="12" t="s">
        <v>1212</v>
      </c>
      <c r="C536" s="17">
        <v>1.154184849E9</v>
      </c>
      <c r="D536" s="12" t="s">
        <v>1213</v>
      </c>
      <c r="E536" s="12" t="s">
        <v>577</v>
      </c>
      <c r="F536" s="14" t="s">
        <v>21</v>
      </c>
      <c r="G536" s="14" t="s">
        <v>18</v>
      </c>
      <c r="H536" s="12" t="s">
        <v>745</v>
      </c>
      <c r="I536" s="12" t="s">
        <v>1214</v>
      </c>
      <c r="J536" s="15"/>
      <c r="K536" s="14" t="s">
        <v>578</v>
      </c>
      <c r="L536" s="12" t="s">
        <v>584</v>
      </c>
      <c r="M536" s="12" t="s">
        <v>580</v>
      </c>
      <c r="N536" s="12" t="s">
        <v>585</v>
      </c>
      <c r="O536" s="15"/>
    </row>
    <row r="537">
      <c r="A537" s="18">
        <v>45984.0</v>
      </c>
      <c r="B537" s="12" t="s">
        <v>1215</v>
      </c>
      <c r="C537" s="13">
        <f>+543513457173</f>
        <v>543513457173</v>
      </c>
      <c r="D537" s="12" t="s">
        <v>1216</v>
      </c>
      <c r="E537" s="14" t="s">
        <v>16</v>
      </c>
      <c r="F537" s="14" t="s">
        <v>21</v>
      </c>
      <c r="G537" s="14" t="s">
        <v>25</v>
      </c>
      <c r="H537" s="12" t="s">
        <v>740</v>
      </c>
      <c r="I537" s="12" t="s">
        <v>1217</v>
      </c>
      <c r="J537" s="15"/>
      <c r="K537" s="14" t="s">
        <v>578</v>
      </c>
      <c r="L537" s="12" t="s">
        <v>579</v>
      </c>
      <c r="M537" s="12" t="s">
        <v>580</v>
      </c>
      <c r="N537" s="12" t="s">
        <v>585</v>
      </c>
      <c r="O537" s="15"/>
    </row>
    <row r="538">
      <c r="A538" s="18">
        <v>45984.0</v>
      </c>
      <c r="B538" s="12" t="s">
        <v>1218</v>
      </c>
      <c r="C538" s="13">
        <f>+542494209914</f>
        <v>542494209914</v>
      </c>
      <c r="D538" s="12" t="s">
        <v>1219</v>
      </c>
      <c r="E538" s="14" t="s">
        <v>16</v>
      </c>
      <c r="F538" s="14" t="s">
        <v>21</v>
      </c>
      <c r="G538" s="14" t="s">
        <v>25</v>
      </c>
      <c r="H538" s="12" t="s">
        <v>717</v>
      </c>
      <c r="I538" s="12" t="s">
        <v>1220</v>
      </c>
      <c r="J538" s="15"/>
      <c r="K538" s="14" t="s">
        <v>578</v>
      </c>
      <c r="L538" s="12" t="s">
        <v>584</v>
      </c>
      <c r="M538" s="12" t="s">
        <v>624</v>
      </c>
      <c r="N538" s="12" t="s">
        <v>581</v>
      </c>
      <c r="O538" s="15"/>
    </row>
    <row r="539">
      <c r="A539" s="18">
        <v>45984.0</v>
      </c>
      <c r="B539" s="12" t="s">
        <v>1221</v>
      </c>
      <c r="C539" s="17">
        <v>2.99156095898E11</v>
      </c>
      <c r="D539" s="12" t="s">
        <v>1222</v>
      </c>
      <c r="E539" s="12" t="s">
        <v>577</v>
      </c>
      <c r="F539" s="14" t="s">
        <v>21</v>
      </c>
      <c r="G539" s="14" t="s">
        <v>18</v>
      </c>
      <c r="H539" s="12" t="s">
        <v>740</v>
      </c>
      <c r="I539" s="12" t="s">
        <v>818</v>
      </c>
      <c r="J539" s="15"/>
      <c r="K539" s="14" t="s">
        <v>578</v>
      </c>
      <c r="L539" s="12" t="s">
        <v>579</v>
      </c>
      <c r="M539" s="12" t="s">
        <v>580</v>
      </c>
      <c r="N539" s="12" t="s">
        <v>585</v>
      </c>
      <c r="O539" s="15"/>
    </row>
    <row r="540">
      <c r="A540" s="18">
        <v>45984.0</v>
      </c>
      <c r="B540" s="12" t="s">
        <v>1223</v>
      </c>
      <c r="C540" s="13">
        <f>+543582405236</f>
        <v>543582405236</v>
      </c>
      <c r="D540" s="12" t="s">
        <v>1224</v>
      </c>
      <c r="E540" s="14" t="s">
        <v>24</v>
      </c>
      <c r="F540" s="14" t="s">
        <v>21</v>
      </c>
      <c r="G540" s="14" t="s">
        <v>18</v>
      </c>
      <c r="H540" s="12" t="s">
        <v>740</v>
      </c>
      <c r="I540" s="12" t="s">
        <v>1225</v>
      </c>
      <c r="J540" s="15"/>
      <c r="K540" s="14" t="s">
        <v>578</v>
      </c>
      <c r="L540" s="12" t="s">
        <v>579</v>
      </c>
      <c r="M540" s="12" t="s">
        <v>580</v>
      </c>
      <c r="N540" s="12" t="s">
        <v>581</v>
      </c>
      <c r="O540" s="15"/>
    </row>
    <row r="541">
      <c r="A541" s="18">
        <v>45984.0</v>
      </c>
      <c r="B541" s="12" t="s">
        <v>1226</v>
      </c>
      <c r="C541" s="13">
        <f>+54392394836</f>
        <v>54392394836</v>
      </c>
      <c r="D541" s="12" t="s">
        <v>1227</v>
      </c>
      <c r="E541" s="14" t="s">
        <v>16</v>
      </c>
      <c r="F541" s="14" t="s">
        <v>21</v>
      </c>
      <c r="G541" s="14" t="s">
        <v>18</v>
      </c>
      <c r="H541" s="12" t="s">
        <v>740</v>
      </c>
      <c r="I541" s="12" t="s">
        <v>731</v>
      </c>
      <c r="J541" s="15"/>
      <c r="K541" s="14" t="s">
        <v>578</v>
      </c>
      <c r="L541" s="12" t="s">
        <v>579</v>
      </c>
      <c r="M541" s="12" t="s">
        <v>580</v>
      </c>
      <c r="N541" s="12" t="s">
        <v>585</v>
      </c>
      <c r="O541" s="15"/>
    </row>
    <row r="542">
      <c r="A542" s="18">
        <v>45984.0</v>
      </c>
      <c r="B542" s="12" t="s">
        <v>1228</v>
      </c>
      <c r="C542" s="13">
        <f>+541130434446</f>
        <v>541130434446</v>
      </c>
      <c r="D542" s="12" t="s">
        <v>1229</v>
      </c>
      <c r="E542" s="12" t="s">
        <v>577</v>
      </c>
      <c r="F542" s="12" t="s">
        <v>17</v>
      </c>
      <c r="G542" s="14" t="s">
        <v>25</v>
      </c>
      <c r="H542" s="12" t="s">
        <v>727</v>
      </c>
      <c r="I542" s="12" t="s">
        <v>756</v>
      </c>
      <c r="J542" s="15"/>
      <c r="K542" s="14" t="s">
        <v>578</v>
      </c>
      <c r="L542" s="12" t="s">
        <v>584</v>
      </c>
      <c r="M542" s="12" t="s">
        <v>580</v>
      </c>
      <c r="N542" s="12" t="s">
        <v>581</v>
      </c>
      <c r="O542" s="15"/>
    </row>
    <row r="543">
      <c r="A543" s="18">
        <v>45984.0</v>
      </c>
      <c r="B543" s="12" t="s">
        <v>1230</v>
      </c>
      <c r="C543" s="13">
        <f>+542634276855</f>
        <v>542634276855</v>
      </c>
      <c r="D543" s="12" t="s">
        <v>1231</v>
      </c>
      <c r="E543" s="14" t="s">
        <v>24</v>
      </c>
      <c r="F543" s="14" t="s">
        <v>21</v>
      </c>
      <c r="G543" s="14" t="s">
        <v>18</v>
      </c>
      <c r="H543" s="12" t="s">
        <v>717</v>
      </c>
      <c r="I543" s="12" t="s">
        <v>734</v>
      </c>
      <c r="J543" s="15"/>
      <c r="K543" s="14" t="s">
        <v>578</v>
      </c>
      <c r="L543" s="12" t="s">
        <v>579</v>
      </c>
      <c r="M543" s="12" t="s">
        <v>580</v>
      </c>
      <c r="N543" s="12" t="s">
        <v>585</v>
      </c>
      <c r="O543" s="15"/>
    </row>
    <row r="544">
      <c r="A544" s="18">
        <v>45984.0</v>
      </c>
      <c r="B544" s="12" t="s">
        <v>1232</v>
      </c>
      <c r="C544" s="13">
        <f>+542302380002</f>
        <v>542302380002</v>
      </c>
      <c r="D544" s="12" t="s">
        <v>1233</v>
      </c>
      <c r="E544" s="14" t="s">
        <v>16</v>
      </c>
      <c r="F544" s="14" t="s">
        <v>21</v>
      </c>
      <c r="G544" s="14" t="s">
        <v>25</v>
      </c>
      <c r="H544" s="12" t="s">
        <v>717</v>
      </c>
      <c r="I544" s="12" t="s">
        <v>855</v>
      </c>
      <c r="J544" s="15"/>
      <c r="K544" s="14" t="s">
        <v>578</v>
      </c>
      <c r="L544" s="12" t="s">
        <v>579</v>
      </c>
      <c r="M544" s="12" t="s">
        <v>580</v>
      </c>
      <c r="N544" s="12" t="s">
        <v>581</v>
      </c>
      <c r="O544" s="15"/>
    </row>
    <row r="545">
      <c r="A545" s="18">
        <v>45985.0</v>
      </c>
      <c r="B545" s="12" t="s">
        <v>1234</v>
      </c>
      <c r="C545" s="13">
        <f>+5493525619631</f>
        <v>5493525619631</v>
      </c>
      <c r="D545" s="12" t="s">
        <v>1235</v>
      </c>
      <c r="E545" s="14" t="s">
        <v>24</v>
      </c>
      <c r="F545" s="14" t="s">
        <v>21</v>
      </c>
      <c r="G545" s="14" t="s">
        <v>18</v>
      </c>
      <c r="H545" s="12" t="s">
        <v>717</v>
      </c>
      <c r="I545" s="12" t="s">
        <v>1236</v>
      </c>
      <c r="J545" s="15"/>
      <c r="K545" s="14" t="s">
        <v>578</v>
      </c>
      <c r="L545" s="12" t="s">
        <v>579</v>
      </c>
      <c r="M545" s="12" t="s">
        <v>610</v>
      </c>
      <c r="N545" s="12" t="s">
        <v>585</v>
      </c>
      <c r="O545" s="15"/>
    </row>
    <row r="546">
      <c r="A546" s="18">
        <v>45985.0</v>
      </c>
      <c r="B546" s="12" t="s">
        <v>1237</v>
      </c>
      <c r="C546" s="13">
        <f>+543468512945</f>
        <v>543468512945</v>
      </c>
      <c r="D546" s="12" t="s">
        <v>1238</v>
      </c>
      <c r="E546" s="12" t="s">
        <v>577</v>
      </c>
      <c r="F546" s="12" t="s">
        <v>17</v>
      </c>
      <c r="G546" s="14" t="s">
        <v>25</v>
      </c>
      <c r="H546" s="12" t="s">
        <v>740</v>
      </c>
      <c r="I546" s="12" t="s">
        <v>1239</v>
      </c>
      <c r="J546" s="15"/>
      <c r="K546" s="14" t="s">
        <v>578</v>
      </c>
      <c r="L546" s="12" t="s">
        <v>579</v>
      </c>
      <c r="M546" s="12" t="s">
        <v>610</v>
      </c>
      <c r="N546" s="12" t="s">
        <v>581</v>
      </c>
      <c r="O546" s="15"/>
    </row>
    <row r="547">
      <c r="A547" s="18">
        <v>45985.0</v>
      </c>
      <c r="B547" s="12" t="s">
        <v>1240</v>
      </c>
      <c r="C547" s="13">
        <f>+542914466751</f>
        <v>542914466751</v>
      </c>
      <c r="D547" s="12" t="s">
        <v>1241</v>
      </c>
      <c r="E547" s="12" t="s">
        <v>577</v>
      </c>
      <c r="F547" s="14" t="s">
        <v>21</v>
      </c>
      <c r="G547" s="14" t="s">
        <v>18</v>
      </c>
      <c r="H547" s="12" t="s">
        <v>717</v>
      </c>
      <c r="I547" s="12" t="s">
        <v>767</v>
      </c>
      <c r="J547" s="15"/>
      <c r="K547" s="14" t="s">
        <v>578</v>
      </c>
      <c r="L547" s="12" t="s">
        <v>579</v>
      </c>
      <c r="M547" s="12" t="s">
        <v>610</v>
      </c>
      <c r="N547" s="12" t="s">
        <v>581</v>
      </c>
      <c r="O547" s="15"/>
    </row>
    <row r="548">
      <c r="A548" s="18">
        <v>45985.0</v>
      </c>
      <c r="B548" s="12" t="s">
        <v>1242</v>
      </c>
      <c r="C548" s="13">
        <f>+541167338634</f>
        <v>541167338634</v>
      </c>
      <c r="D548" s="12" t="s">
        <v>1243</v>
      </c>
      <c r="E548" s="14" t="s">
        <v>24</v>
      </c>
      <c r="F548" s="14" t="s">
        <v>21</v>
      </c>
      <c r="G548" s="14" t="s">
        <v>25</v>
      </c>
      <c r="H548" s="12" t="s">
        <v>727</v>
      </c>
      <c r="I548" s="12" t="s">
        <v>1244</v>
      </c>
      <c r="J548" s="15"/>
      <c r="K548" s="14" t="s">
        <v>578</v>
      </c>
      <c r="L548" s="12" t="s">
        <v>584</v>
      </c>
      <c r="M548" s="12" t="s">
        <v>580</v>
      </c>
      <c r="N548" s="12" t="s">
        <v>585</v>
      </c>
      <c r="O548" s="15"/>
    </row>
    <row r="549">
      <c r="A549" s="18">
        <v>45985.0</v>
      </c>
      <c r="B549" s="12" t="s">
        <v>1245</v>
      </c>
      <c r="C549" s="13">
        <f>+542345650340</f>
        <v>542345650340</v>
      </c>
      <c r="D549" s="12" t="s">
        <v>1246</v>
      </c>
      <c r="E549" s="14" t="s">
        <v>24</v>
      </c>
      <c r="F549" s="14" t="s">
        <v>21</v>
      </c>
      <c r="G549" s="14" t="s">
        <v>25</v>
      </c>
      <c r="H549" s="12" t="s">
        <v>717</v>
      </c>
      <c r="I549" s="12" t="s">
        <v>972</v>
      </c>
      <c r="J549" s="15"/>
      <c r="K549" s="14" t="s">
        <v>578</v>
      </c>
      <c r="L549" s="12" t="s">
        <v>584</v>
      </c>
      <c r="M549" s="12" t="s">
        <v>1055</v>
      </c>
      <c r="N549" s="12" t="s">
        <v>581</v>
      </c>
      <c r="O549" s="15"/>
    </row>
    <row r="550">
      <c r="A550" s="18">
        <v>45985.0</v>
      </c>
      <c r="B550" s="12" t="s">
        <v>1247</v>
      </c>
      <c r="C550" s="13">
        <f>+542804584400</f>
        <v>542804584400</v>
      </c>
      <c r="D550" s="12" t="s">
        <v>1248</v>
      </c>
      <c r="E550" s="12" t="s">
        <v>577</v>
      </c>
      <c r="F550" s="14" t="s">
        <v>21</v>
      </c>
      <c r="G550" s="14" t="s">
        <v>18</v>
      </c>
      <c r="H550" s="12" t="s">
        <v>717</v>
      </c>
      <c r="I550" s="12" t="s">
        <v>1249</v>
      </c>
      <c r="J550" s="15"/>
      <c r="K550" s="14" t="s">
        <v>578</v>
      </c>
      <c r="L550" s="12" t="s">
        <v>579</v>
      </c>
      <c r="M550" s="12" t="s">
        <v>610</v>
      </c>
      <c r="N550" s="12" t="s">
        <v>581</v>
      </c>
      <c r="O550" s="15"/>
    </row>
    <row r="551">
      <c r="A551" s="18">
        <v>45985.0</v>
      </c>
      <c r="B551" s="12" t="s">
        <v>1250</v>
      </c>
      <c r="C551" s="13">
        <f>+543815691999</f>
        <v>543815691999</v>
      </c>
      <c r="D551" s="12" t="s">
        <v>1251</v>
      </c>
      <c r="E551" s="12" t="s">
        <v>577</v>
      </c>
      <c r="F551" s="14" t="s">
        <v>21</v>
      </c>
      <c r="G551" s="14" t="s">
        <v>18</v>
      </c>
      <c r="H551" s="12" t="s">
        <v>717</v>
      </c>
      <c r="I551" s="12" t="s">
        <v>1252</v>
      </c>
      <c r="J551" s="15"/>
      <c r="K551" s="14" t="s">
        <v>578</v>
      </c>
      <c r="L551" s="12" t="s">
        <v>579</v>
      </c>
      <c r="M551" s="12" t="s">
        <v>610</v>
      </c>
      <c r="N551" s="12" t="s">
        <v>581</v>
      </c>
      <c r="O551" s="15"/>
    </row>
    <row r="552">
      <c r="A552" s="18">
        <v>45985.0</v>
      </c>
      <c r="B552" s="12" t="s">
        <v>1253</v>
      </c>
      <c r="C552" s="17">
        <v>3.865514245E9</v>
      </c>
      <c r="D552" s="12" t="s">
        <v>1254</v>
      </c>
      <c r="E552" s="14" t="s">
        <v>16</v>
      </c>
      <c r="F552" s="14" t="s">
        <v>21</v>
      </c>
      <c r="G552" s="14" t="s">
        <v>18</v>
      </c>
      <c r="H552" s="12" t="s">
        <v>717</v>
      </c>
      <c r="I552" s="12" t="s">
        <v>1255</v>
      </c>
      <c r="J552" s="15"/>
      <c r="K552" s="14" t="s">
        <v>578</v>
      </c>
      <c r="L552" s="12" t="s">
        <v>579</v>
      </c>
      <c r="M552" s="12" t="s">
        <v>610</v>
      </c>
      <c r="N552" s="12" t="s">
        <v>585</v>
      </c>
      <c r="O552" s="15"/>
    </row>
    <row r="553">
      <c r="A553" s="18">
        <v>45985.0</v>
      </c>
      <c r="B553" s="12" t="s">
        <v>1256</v>
      </c>
      <c r="C553" s="13">
        <f>+541122778110</f>
        <v>541122778110</v>
      </c>
      <c r="D553" s="12" t="s">
        <v>1257</v>
      </c>
      <c r="E553" s="14" t="s">
        <v>16</v>
      </c>
      <c r="F553" s="14" t="s">
        <v>21</v>
      </c>
      <c r="G553" s="14" t="s">
        <v>25</v>
      </c>
      <c r="H553" s="12" t="s">
        <v>717</v>
      </c>
      <c r="I553" s="12" t="s">
        <v>1258</v>
      </c>
      <c r="J553" s="15"/>
      <c r="K553" s="14" t="s">
        <v>578</v>
      </c>
      <c r="L553" s="12" t="s">
        <v>584</v>
      </c>
      <c r="M553" s="12" t="s">
        <v>1055</v>
      </c>
      <c r="N553" s="12" t="s">
        <v>581</v>
      </c>
      <c r="O553" s="15"/>
    </row>
    <row r="554">
      <c r="A554" s="18">
        <v>45985.0</v>
      </c>
      <c r="B554" s="12" t="s">
        <v>1259</v>
      </c>
      <c r="C554" s="13">
        <f>+543704230949</f>
        <v>543704230949</v>
      </c>
      <c r="D554" s="12" t="s">
        <v>1260</v>
      </c>
      <c r="E554" s="14" t="s">
        <v>24</v>
      </c>
      <c r="F554" s="14" t="s">
        <v>21</v>
      </c>
      <c r="G554" s="14" t="s">
        <v>25</v>
      </c>
      <c r="H554" s="12" t="s">
        <v>717</v>
      </c>
      <c r="I554" s="12" t="s">
        <v>1261</v>
      </c>
      <c r="J554" s="15"/>
      <c r="K554" s="14" t="s">
        <v>578</v>
      </c>
      <c r="L554" s="12" t="s">
        <v>579</v>
      </c>
      <c r="M554" s="12" t="s">
        <v>610</v>
      </c>
      <c r="N554" s="12" t="s">
        <v>585</v>
      </c>
      <c r="O554" s="15"/>
    </row>
    <row r="555">
      <c r="A555" s="18">
        <v>45985.0</v>
      </c>
      <c r="B555" s="12" t="s">
        <v>1262</v>
      </c>
      <c r="C555" s="13">
        <f>+542664364864</f>
        <v>542664364864</v>
      </c>
      <c r="D555" s="12" t="s">
        <v>1263</v>
      </c>
      <c r="E555" s="12" t="s">
        <v>577</v>
      </c>
      <c r="F555" s="12" t="s">
        <v>17</v>
      </c>
      <c r="G555" s="14" t="s">
        <v>18</v>
      </c>
      <c r="H555" s="12" t="s">
        <v>745</v>
      </c>
      <c r="I555" s="12" t="s">
        <v>1264</v>
      </c>
      <c r="J555" s="15"/>
      <c r="K555" s="14" t="s">
        <v>578</v>
      </c>
      <c r="L555" s="12" t="s">
        <v>579</v>
      </c>
      <c r="M555" s="12" t="s">
        <v>610</v>
      </c>
      <c r="N555" s="12" t="s">
        <v>581</v>
      </c>
      <c r="O555" s="15"/>
    </row>
    <row r="556">
      <c r="A556" s="18">
        <v>45985.0</v>
      </c>
      <c r="B556" s="12" t="s">
        <v>1265</v>
      </c>
      <c r="C556" s="13">
        <f>+542916498076</f>
        <v>542916498076</v>
      </c>
      <c r="D556" s="12" t="s">
        <v>1266</v>
      </c>
      <c r="E556" s="14" t="s">
        <v>24</v>
      </c>
      <c r="F556" s="14" t="s">
        <v>32</v>
      </c>
      <c r="G556" s="14" t="s">
        <v>25</v>
      </c>
      <c r="H556" s="12" t="s">
        <v>745</v>
      </c>
      <c r="I556" s="12" t="s">
        <v>734</v>
      </c>
      <c r="J556" s="15"/>
      <c r="K556" s="14" t="s">
        <v>578</v>
      </c>
      <c r="L556" s="12" t="s">
        <v>579</v>
      </c>
      <c r="M556" s="12" t="s">
        <v>610</v>
      </c>
      <c r="N556" s="12" t="s">
        <v>581</v>
      </c>
      <c r="O556" s="15"/>
    </row>
    <row r="557">
      <c r="A557" s="18">
        <v>45986.0</v>
      </c>
      <c r="B557" s="9" t="s">
        <v>1267</v>
      </c>
      <c r="C557" s="10">
        <f>+5491164601440</f>
        <v>5491164601440</v>
      </c>
      <c r="D557" s="9" t="s">
        <v>1268</v>
      </c>
      <c r="E557" s="14" t="s">
        <v>24</v>
      </c>
      <c r="F557" s="14" t="s">
        <v>21</v>
      </c>
      <c r="G557" s="14" t="s">
        <v>25</v>
      </c>
      <c r="H557" s="12" t="s">
        <v>740</v>
      </c>
      <c r="I557" s="9" t="s">
        <v>1269</v>
      </c>
      <c r="J557" s="15"/>
      <c r="K557" s="14" t="s">
        <v>578</v>
      </c>
      <c r="L557" s="9" t="s">
        <v>584</v>
      </c>
      <c r="M557" s="9" t="s">
        <v>1055</v>
      </c>
      <c r="N557" s="9" t="s">
        <v>581</v>
      </c>
      <c r="O557" s="15"/>
    </row>
    <row r="558">
      <c r="A558" s="18">
        <v>45986.0</v>
      </c>
      <c r="B558" s="9" t="s">
        <v>1270</v>
      </c>
      <c r="C558" s="10">
        <f>+541121790447</f>
        <v>541121790447</v>
      </c>
      <c r="D558" s="9" t="s">
        <v>1271</v>
      </c>
      <c r="E558" s="14" t="s">
        <v>24</v>
      </c>
      <c r="F558" s="14" t="s">
        <v>21</v>
      </c>
      <c r="G558" s="14" t="s">
        <v>25</v>
      </c>
      <c r="H558" s="12" t="s">
        <v>717</v>
      </c>
      <c r="I558" s="9" t="s">
        <v>1272</v>
      </c>
      <c r="J558" s="15"/>
      <c r="K558" s="14" t="s">
        <v>578</v>
      </c>
      <c r="L558" s="9" t="s">
        <v>584</v>
      </c>
      <c r="M558" s="9" t="s">
        <v>1055</v>
      </c>
      <c r="N558" s="9" t="s">
        <v>581</v>
      </c>
      <c r="O558" s="15"/>
    </row>
    <row r="559">
      <c r="A559" s="18">
        <v>45986.0</v>
      </c>
      <c r="B559" s="9" t="s">
        <v>1273</v>
      </c>
      <c r="C559" s="10">
        <f>+541151375827</f>
        <v>541151375827</v>
      </c>
      <c r="D559" s="9" t="s">
        <v>1274</v>
      </c>
      <c r="E559" s="9" t="s">
        <v>577</v>
      </c>
      <c r="F559" s="14" t="s">
        <v>21</v>
      </c>
      <c r="G559" s="14" t="s">
        <v>25</v>
      </c>
      <c r="H559" s="12" t="s">
        <v>745</v>
      </c>
      <c r="I559" s="9" t="s">
        <v>1275</v>
      </c>
      <c r="J559" s="15"/>
      <c r="K559" s="14" t="s">
        <v>578</v>
      </c>
      <c r="L559" s="9" t="s">
        <v>584</v>
      </c>
      <c r="M559" s="9" t="s">
        <v>1055</v>
      </c>
      <c r="N559" s="9" t="s">
        <v>581</v>
      </c>
      <c r="O559" s="15"/>
    </row>
    <row r="560">
      <c r="A560" s="18">
        <v>45986.0</v>
      </c>
      <c r="B560" s="9" t="s">
        <v>1276</v>
      </c>
      <c r="C560" s="10">
        <f>+542974301876</f>
        <v>542974301876</v>
      </c>
      <c r="D560" s="9" t="s">
        <v>1277</v>
      </c>
      <c r="E560" s="9" t="s">
        <v>577</v>
      </c>
      <c r="F560" s="14" t="s">
        <v>21</v>
      </c>
      <c r="G560" s="9" t="s">
        <v>1045</v>
      </c>
      <c r="H560" s="12" t="s">
        <v>717</v>
      </c>
      <c r="I560" s="9" t="s">
        <v>1278</v>
      </c>
      <c r="K560" s="14" t="s">
        <v>578</v>
      </c>
      <c r="L560" s="9" t="s">
        <v>584</v>
      </c>
      <c r="M560" s="9" t="s">
        <v>1055</v>
      </c>
      <c r="N560" s="9" t="s">
        <v>581</v>
      </c>
    </row>
    <row r="561">
      <c r="A561" s="18">
        <v>45986.0</v>
      </c>
      <c r="B561" s="9" t="s">
        <v>1279</v>
      </c>
      <c r="C561" s="10">
        <f>+543794887352</f>
        <v>543794887352</v>
      </c>
      <c r="D561" s="9" t="s">
        <v>1280</v>
      </c>
      <c r="E561" s="9" t="s">
        <v>577</v>
      </c>
      <c r="F561" s="14" t="s">
        <v>21</v>
      </c>
      <c r="G561" s="14" t="s">
        <v>25</v>
      </c>
      <c r="H561" s="12" t="s">
        <v>717</v>
      </c>
      <c r="I561" s="9" t="s">
        <v>1281</v>
      </c>
      <c r="K561" s="14" t="s">
        <v>578</v>
      </c>
      <c r="L561" s="9" t="s">
        <v>579</v>
      </c>
      <c r="M561" s="9" t="s">
        <v>610</v>
      </c>
      <c r="N561" s="9" t="s">
        <v>585</v>
      </c>
    </row>
    <row r="562">
      <c r="A562" s="18">
        <v>45986.0</v>
      </c>
      <c r="B562" s="9" t="s">
        <v>1282</v>
      </c>
      <c r="C562" s="11">
        <v>3.454198277E9</v>
      </c>
      <c r="D562" s="9" t="s">
        <v>1283</v>
      </c>
      <c r="E562" s="9" t="s">
        <v>577</v>
      </c>
      <c r="F562" s="14" t="s">
        <v>21</v>
      </c>
      <c r="G562" s="14" t="s">
        <v>25</v>
      </c>
      <c r="H562" s="12" t="s">
        <v>745</v>
      </c>
      <c r="I562" s="9" t="s">
        <v>759</v>
      </c>
      <c r="K562" s="14" t="s">
        <v>578</v>
      </c>
      <c r="L562" s="9" t="s">
        <v>579</v>
      </c>
      <c r="M562" s="9" t="s">
        <v>580</v>
      </c>
      <c r="N562" s="9" t="s">
        <v>585</v>
      </c>
    </row>
    <row r="563">
      <c r="A563" s="18">
        <v>45987.0</v>
      </c>
      <c r="B563" s="9" t="s">
        <v>1284</v>
      </c>
      <c r="C563" s="10">
        <f>+542245401292</f>
        <v>542245401292</v>
      </c>
      <c r="D563" s="9" t="s">
        <v>1285</v>
      </c>
      <c r="E563" s="14" t="s">
        <v>16</v>
      </c>
      <c r="F563" s="14" t="s">
        <v>21</v>
      </c>
      <c r="G563" s="14" t="s">
        <v>25</v>
      </c>
      <c r="H563" s="12" t="s">
        <v>717</v>
      </c>
      <c r="I563" s="9" t="s">
        <v>1286</v>
      </c>
      <c r="K563" s="14" t="s">
        <v>578</v>
      </c>
      <c r="L563" s="9" t="s">
        <v>579</v>
      </c>
      <c r="M563" s="9" t="s">
        <v>610</v>
      </c>
      <c r="N563" s="9" t="s">
        <v>581</v>
      </c>
    </row>
    <row r="564">
      <c r="A564" s="18">
        <v>45987.0</v>
      </c>
      <c r="B564" s="9" t="s">
        <v>1287</v>
      </c>
      <c r="C564" s="10">
        <f>+541144995765</f>
        <v>541144995765</v>
      </c>
      <c r="D564" s="9" t="s">
        <v>1288</v>
      </c>
      <c r="E564" s="9" t="s">
        <v>577</v>
      </c>
      <c r="F564" s="14" t="s">
        <v>21</v>
      </c>
      <c r="G564" s="14" t="s">
        <v>25</v>
      </c>
      <c r="H564" s="12" t="s">
        <v>717</v>
      </c>
      <c r="I564" s="9" t="s">
        <v>1289</v>
      </c>
      <c r="K564" s="14" t="s">
        <v>578</v>
      </c>
      <c r="L564" s="9" t="s">
        <v>584</v>
      </c>
      <c r="M564" s="9" t="s">
        <v>1055</v>
      </c>
      <c r="N564" s="9" t="s">
        <v>585</v>
      </c>
    </row>
    <row r="565">
      <c r="A565" s="18">
        <v>45987.0</v>
      </c>
      <c r="B565" s="9" t="s">
        <v>1290</v>
      </c>
      <c r="C565" s="10">
        <f>+541154168122</f>
        <v>541154168122</v>
      </c>
      <c r="D565" s="9" t="s">
        <v>1291</v>
      </c>
      <c r="E565" s="9" t="s">
        <v>577</v>
      </c>
      <c r="F565" s="14" t="s">
        <v>21</v>
      </c>
      <c r="G565" s="14" t="s">
        <v>18</v>
      </c>
      <c r="H565" s="12" t="s">
        <v>717</v>
      </c>
      <c r="I565" s="9" t="s">
        <v>1292</v>
      </c>
      <c r="K565" s="14" t="s">
        <v>578</v>
      </c>
      <c r="L565" s="9" t="s">
        <v>584</v>
      </c>
      <c r="M565" s="9" t="s">
        <v>1055</v>
      </c>
      <c r="N565" s="9" t="s">
        <v>581</v>
      </c>
    </row>
    <row r="566">
      <c r="A566" s="18">
        <v>45987.0</v>
      </c>
      <c r="B566" s="9" t="s">
        <v>1293</v>
      </c>
      <c r="C566" s="10">
        <f>+543515941574</f>
        <v>543515941574</v>
      </c>
      <c r="D566" s="9" t="s">
        <v>1294</v>
      </c>
      <c r="E566" s="14" t="s">
        <v>24</v>
      </c>
      <c r="F566" s="14" t="s">
        <v>21</v>
      </c>
      <c r="G566" s="14" t="s">
        <v>25</v>
      </c>
      <c r="H566" s="12" t="s">
        <v>717</v>
      </c>
      <c r="I566" s="9" t="s">
        <v>1295</v>
      </c>
      <c r="K566" s="14" t="s">
        <v>578</v>
      </c>
      <c r="L566" s="9" t="s">
        <v>579</v>
      </c>
      <c r="M566" s="9" t="s">
        <v>610</v>
      </c>
      <c r="N566" s="9" t="s">
        <v>581</v>
      </c>
    </row>
    <row r="567">
      <c r="A567" s="18">
        <v>45987.0</v>
      </c>
      <c r="B567" s="9" t="s">
        <v>1296</v>
      </c>
      <c r="C567" s="10">
        <f>+5492615108101</f>
        <v>5492615108101</v>
      </c>
      <c r="D567" s="9" t="s">
        <v>1297</v>
      </c>
      <c r="E567" s="14" t="s">
        <v>24</v>
      </c>
      <c r="F567" s="12" t="s">
        <v>17</v>
      </c>
      <c r="G567" s="14" t="s">
        <v>18</v>
      </c>
      <c r="H567" s="12" t="s">
        <v>727</v>
      </c>
      <c r="I567" s="9" t="s">
        <v>734</v>
      </c>
      <c r="K567" s="14" t="s">
        <v>578</v>
      </c>
      <c r="L567" s="9" t="s">
        <v>579</v>
      </c>
      <c r="M567" s="9" t="s">
        <v>610</v>
      </c>
      <c r="N567" s="9" t="s">
        <v>585</v>
      </c>
    </row>
    <row r="568">
      <c r="A568" s="18">
        <v>45987.0</v>
      </c>
      <c r="B568" s="9" t="s">
        <v>1298</v>
      </c>
      <c r="C568" s="10">
        <f>+541159607273</f>
        <v>541159607273</v>
      </c>
      <c r="D568" s="9" t="s">
        <v>1299</v>
      </c>
      <c r="E568" s="9" t="s">
        <v>577</v>
      </c>
      <c r="F568" s="14" t="s">
        <v>21</v>
      </c>
      <c r="G568" s="14" t="s">
        <v>25</v>
      </c>
      <c r="H568" s="12" t="s">
        <v>717</v>
      </c>
      <c r="I568" s="9" t="s">
        <v>1300</v>
      </c>
      <c r="K568" s="14" t="s">
        <v>578</v>
      </c>
      <c r="L568" s="9" t="s">
        <v>584</v>
      </c>
      <c r="M568" s="9" t="s">
        <v>1055</v>
      </c>
      <c r="N568" s="9" t="s">
        <v>581</v>
      </c>
    </row>
    <row r="569">
      <c r="A569" s="18">
        <v>45987.0</v>
      </c>
      <c r="B569" s="9" t="s">
        <v>1301</v>
      </c>
      <c r="C569" s="10">
        <f>+542664313279</f>
        <v>542664313279</v>
      </c>
      <c r="D569" s="9" t="s">
        <v>1302</v>
      </c>
      <c r="E569" s="9" t="s">
        <v>577</v>
      </c>
      <c r="F569" s="14" t="s">
        <v>21</v>
      </c>
      <c r="G569" s="14" t="s">
        <v>25</v>
      </c>
      <c r="H569" s="12" t="s">
        <v>717</v>
      </c>
      <c r="I569" s="9" t="s">
        <v>1303</v>
      </c>
      <c r="K569" s="14" t="s">
        <v>578</v>
      </c>
      <c r="L569" s="9" t="s">
        <v>579</v>
      </c>
      <c r="M569" s="9" t="s">
        <v>610</v>
      </c>
      <c r="N569" s="9" t="s">
        <v>581</v>
      </c>
    </row>
    <row r="570">
      <c r="A570" s="18">
        <v>45987.0</v>
      </c>
      <c r="B570" s="9" t="s">
        <v>1304</v>
      </c>
      <c r="C570" s="10">
        <f>+542235038332</f>
        <v>542235038332</v>
      </c>
      <c r="D570" s="9" t="s">
        <v>1305</v>
      </c>
      <c r="E570" s="14" t="s">
        <v>24</v>
      </c>
      <c r="F570" s="12" t="s">
        <v>17</v>
      </c>
      <c r="G570" s="14" t="s">
        <v>25</v>
      </c>
      <c r="H570" s="12" t="s">
        <v>717</v>
      </c>
      <c r="I570" s="9" t="s">
        <v>1306</v>
      </c>
      <c r="K570" s="14" t="s">
        <v>578</v>
      </c>
      <c r="L570" s="9" t="s">
        <v>584</v>
      </c>
      <c r="M570" s="9" t="s">
        <v>1055</v>
      </c>
      <c r="N570" s="9" t="s">
        <v>585</v>
      </c>
    </row>
    <row r="571">
      <c r="A571" s="18">
        <v>45987.0</v>
      </c>
      <c r="B571" s="9" t="s">
        <v>1307</v>
      </c>
      <c r="C571" s="10">
        <f>+2302641044</f>
        <v>2302641044</v>
      </c>
      <c r="D571" s="9" t="s">
        <v>1308</v>
      </c>
      <c r="E571" s="14" t="s">
        <v>16</v>
      </c>
      <c r="F571" s="14" t="s">
        <v>21</v>
      </c>
      <c r="G571" s="14" t="s">
        <v>18</v>
      </c>
      <c r="H571" s="12" t="s">
        <v>727</v>
      </c>
      <c r="I571" s="9" t="s">
        <v>1309</v>
      </c>
      <c r="K571" s="14" t="s">
        <v>578</v>
      </c>
      <c r="L571" s="9" t="s">
        <v>579</v>
      </c>
      <c r="M571" s="9" t="s">
        <v>610</v>
      </c>
      <c r="N571" s="9" t="s">
        <v>585</v>
      </c>
    </row>
    <row r="572">
      <c r="A572" s="18">
        <v>45987.0</v>
      </c>
      <c r="B572" s="9" t="s">
        <v>1310</v>
      </c>
      <c r="C572" s="10">
        <f>+5493415938184</f>
        <v>5493415938184</v>
      </c>
      <c r="D572" s="9" t="s">
        <v>1311</v>
      </c>
      <c r="E572" s="9" t="s">
        <v>577</v>
      </c>
      <c r="F572" s="14" t="s">
        <v>21</v>
      </c>
      <c r="G572" s="14" t="s">
        <v>25</v>
      </c>
      <c r="H572" s="12" t="s">
        <v>717</v>
      </c>
      <c r="I572" s="9" t="s">
        <v>1312</v>
      </c>
      <c r="K572" s="14" t="s">
        <v>578</v>
      </c>
      <c r="L572" s="9" t="s">
        <v>584</v>
      </c>
      <c r="M572" s="9" t="s">
        <v>1055</v>
      </c>
      <c r="N572" s="9" t="s">
        <v>585</v>
      </c>
    </row>
    <row r="573">
      <c r="A573" s="18">
        <v>45987.0</v>
      </c>
      <c r="B573" s="9" t="s">
        <v>1313</v>
      </c>
      <c r="C573" s="10">
        <f>+5491140649223</f>
        <v>5491140649223</v>
      </c>
      <c r="D573" s="9" t="s">
        <v>1314</v>
      </c>
      <c r="E573" s="14" t="s">
        <v>16</v>
      </c>
      <c r="F573" s="14" t="s">
        <v>32</v>
      </c>
      <c r="G573" s="14" t="s">
        <v>25</v>
      </c>
      <c r="H573" s="12" t="s">
        <v>727</v>
      </c>
      <c r="I573" s="9" t="s">
        <v>1315</v>
      </c>
      <c r="K573" s="14" t="s">
        <v>578</v>
      </c>
      <c r="L573" s="9" t="s">
        <v>584</v>
      </c>
      <c r="M573" s="9" t="s">
        <v>1055</v>
      </c>
      <c r="N573" s="9" t="s">
        <v>585</v>
      </c>
    </row>
    <row r="574">
      <c r="A574" s="18">
        <v>45988.0</v>
      </c>
      <c r="B574" s="9" t="s">
        <v>1316</v>
      </c>
      <c r="C574" s="10">
        <f>+541169380612</f>
        <v>541169380612</v>
      </c>
      <c r="D574" s="9" t="s">
        <v>1317</v>
      </c>
      <c r="E574" s="14" t="s">
        <v>16</v>
      </c>
      <c r="F574" s="14" t="s">
        <v>21</v>
      </c>
      <c r="G574" s="9" t="s">
        <v>1045</v>
      </c>
      <c r="H574" s="12" t="s">
        <v>727</v>
      </c>
      <c r="I574" s="9" t="s">
        <v>1318</v>
      </c>
      <c r="K574" s="14" t="s">
        <v>578</v>
      </c>
      <c r="L574" s="9" t="s">
        <v>584</v>
      </c>
      <c r="M574" s="9" t="s">
        <v>1055</v>
      </c>
      <c r="N574" s="9" t="s">
        <v>581</v>
      </c>
    </row>
    <row r="575">
      <c r="A575" s="18">
        <v>45988.0</v>
      </c>
      <c r="B575" s="9" t="s">
        <v>1319</v>
      </c>
      <c r="C575" s="10">
        <f>+5492302553730</f>
        <v>5492302553730</v>
      </c>
      <c r="D575" s="9" t="s">
        <v>1320</v>
      </c>
      <c r="E575" s="14" t="s">
        <v>16</v>
      </c>
      <c r="F575" s="14" t="s">
        <v>21</v>
      </c>
      <c r="G575" s="14" t="s">
        <v>25</v>
      </c>
      <c r="H575" s="12" t="s">
        <v>745</v>
      </c>
      <c r="I575" s="9" t="s">
        <v>1321</v>
      </c>
      <c r="K575" s="14" t="s">
        <v>578</v>
      </c>
      <c r="L575" s="9" t="s">
        <v>579</v>
      </c>
      <c r="M575" s="9" t="s">
        <v>610</v>
      </c>
      <c r="N575" s="9" t="s">
        <v>581</v>
      </c>
    </row>
    <row r="576">
      <c r="A576" s="18">
        <v>45988.0</v>
      </c>
      <c r="B576" s="9" t="s">
        <v>1322</v>
      </c>
      <c r="C576" s="10">
        <f>+542994548005</f>
        <v>542994548005</v>
      </c>
      <c r="D576" s="9" t="s">
        <v>1323</v>
      </c>
      <c r="E576" s="9" t="s">
        <v>577</v>
      </c>
      <c r="F576" s="14" t="s">
        <v>21</v>
      </c>
      <c r="G576" s="14" t="s">
        <v>25</v>
      </c>
      <c r="H576" s="12" t="s">
        <v>717</v>
      </c>
      <c r="I576" s="9" t="s">
        <v>770</v>
      </c>
      <c r="K576" s="14" t="s">
        <v>578</v>
      </c>
      <c r="L576" s="9" t="s">
        <v>579</v>
      </c>
      <c r="M576" s="9" t="s">
        <v>610</v>
      </c>
      <c r="N576" s="9" t="s">
        <v>585</v>
      </c>
    </row>
    <row r="577">
      <c r="A577" s="18">
        <v>45988.0</v>
      </c>
      <c r="B577" s="9" t="s">
        <v>1324</v>
      </c>
      <c r="C577" s="10">
        <f>+543815718525</f>
        <v>543815718525</v>
      </c>
      <c r="D577" s="9" t="s">
        <v>1325</v>
      </c>
      <c r="E577" s="14" t="s">
        <v>24</v>
      </c>
      <c r="F577" s="12" t="s">
        <v>17</v>
      </c>
      <c r="G577" s="14" t="s">
        <v>25</v>
      </c>
      <c r="H577" s="12" t="s">
        <v>740</v>
      </c>
      <c r="I577" s="9" t="s">
        <v>1326</v>
      </c>
      <c r="K577" s="14" t="s">
        <v>578</v>
      </c>
      <c r="L577" s="9" t="s">
        <v>584</v>
      </c>
      <c r="M577" s="9" t="s">
        <v>1055</v>
      </c>
      <c r="N577" s="9" t="s">
        <v>585</v>
      </c>
    </row>
    <row r="578">
      <c r="A578" s="18">
        <v>45988.0</v>
      </c>
      <c r="B578" s="9" t="s">
        <v>1327</v>
      </c>
      <c r="C578" s="10">
        <f>+5492234569968</f>
        <v>5492234569968</v>
      </c>
      <c r="D578" s="9" t="s">
        <v>1328</v>
      </c>
      <c r="E578" s="9" t="s">
        <v>577</v>
      </c>
      <c r="F578" s="12" t="s">
        <v>17</v>
      </c>
      <c r="G578" s="14" t="s">
        <v>25</v>
      </c>
      <c r="H578" s="12" t="s">
        <v>717</v>
      </c>
      <c r="I578" s="9" t="s">
        <v>1329</v>
      </c>
      <c r="K578" s="14" t="s">
        <v>578</v>
      </c>
      <c r="L578" s="9" t="s">
        <v>584</v>
      </c>
      <c r="M578" s="9" t="s">
        <v>1055</v>
      </c>
      <c r="N578" s="9" t="s">
        <v>581</v>
      </c>
    </row>
    <row r="579">
      <c r="A579" s="18">
        <v>45988.0</v>
      </c>
      <c r="B579" s="9" t="s">
        <v>1330</v>
      </c>
      <c r="C579" s="10">
        <f>+541141452735</f>
        <v>541141452735</v>
      </c>
      <c r="D579" s="9" t="s">
        <v>1331</v>
      </c>
      <c r="E579" s="14" t="s">
        <v>16</v>
      </c>
      <c r="F579" s="14" t="s">
        <v>21</v>
      </c>
      <c r="G579" s="14" t="s">
        <v>25</v>
      </c>
      <c r="H579" s="12" t="s">
        <v>727</v>
      </c>
      <c r="I579" s="9" t="s">
        <v>1332</v>
      </c>
      <c r="K579" s="14" t="s">
        <v>578</v>
      </c>
      <c r="L579" s="9" t="s">
        <v>584</v>
      </c>
      <c r="M579" s="9" t="s">
        <v>1055</v>
      </c>
      <c r="N579" s="9" t="s">
        <v>585</v>
      </c>
    </row>
    <row r="580">
      <c r="A580" s="18">
        <v>45988.0</v>
      </c>
      <c r="B580" s="9" t="s">
        <v>1333</v>
      </c>
      <c r="C580" s="10">
        <f>+543424273194</f>
        <v>543424273194</v>
      </c>
      <c r="D580" s="9" t="s">
        <v>1334</v>
      </c>
      <c r="E580" s="14" t="s">
        <v>16</v>
      </c>
      <c r="F580" s="12" t="s">
        <v>17</v>
      </c>
      <c r="G580" s="14" t="s">
        <v>25</v>
      </c>
      <c r="H580" s="12" t="s">
        <v>745</v>
      </c>
      <c r="I580" s="9" t="s">
        <v>1335</v>
      </c>
      <c r="K580" s="14" t="s">
        <v>578</v>
      </c>
      <c r="L580" s="9" t="s">
        <v>579</v>
      </c>
      <c r="M580" s="9" t="s">
        <v>610</v>
      </c>
      <c r="N580" s="9" t="s">
        <v>585</v>
      </c>
    </row>
    <row r="581">
      <c r="A581" s="18">
        <v>45988.0</v>
      </c>
      <c r="B581" s="9" t="s">
        <v>1336</v>
      </c>
      <c r="C581" s="10">
        <f>+5493424059685</f>
        <v>5493424059685</v>
      </c>
      <c r="D581" s="9" t="s">
        <v>1337</v>
      </c>
      <c r="E581" s="9" t="s">
        <v>577</v>
      </c>
      <c r="F581" s="14" t="s">
        <v>21</v>
      </c>
      <c r="G581" s="14" t="s">
        <v>25</v>
      </c>
      <c r="H581" s="12" t="s">
        <v>745</v>
      </c>
      <c r="I581" s="9" t="s">
        <v>1338</v>
      </c>
      <c r="K581" s="14" t="s">
        <v>578</v>
      </c>
      <c r="L581" s="9" t="s">
        <v>579</v>
      </c>
      <c r="M581" s="9" t="s">
        <v>610</v>
      </c>
      <c r="N581" s="9" t="s">
        <v>581</v>
      </c>
    </row>
    <row r="582">
      <c r="A582" s="18">
        <v>45988.0</v>
      </c>
      <c r="B582" s="12" t="s">
        <v>1339</v>
      </c>
      <c r="C582" s="13">
        <f>+543624590686</f>
        <v>543624590686</v>
      </c>
      <c r="D582" s="12" t="s">
        <v>1340</v>
      </c>
      <c r="E582" s="14" t="s">
        <v>24</v>
      </c>
      <c r="F582" s="14" t="s">
        <v>21</v>
      </c>
      <c r="G582" s="14" t="s">
        <v>18</v>
      </c>
      <c r="H582" s="12" t="s">
        <v>717</v>
      </c>
      <c r="I582" s="12" t="s">
        <v>734</v>
      </c>
      <c r="J582" s="15"/>
      <c r="K582" s="14" t="s">
        <v>578</v>
      </c>
      <c r="L582" s="12" t="s">
        <v>579</v>
      </c>
      <c r="M582" s="12" t="s">
        <v>610</v>
      </c>
      <c r="N582" s="12" t="s">
        <v>585</v>
      </c>
      <c r="O582" s="15"/>
      <c r="P582" s="15"/>
    </row>
    <row r="583">
      <c r="A583" s="18">
        <v>45988.0</v>
      </c>
      <c r="B583" s="12" t="s">
        <v>1341</v>
      </c>
      <c r="C583" s="13">
        <f>+541125741658</f>
        <v>541125741658</v>
      </c>
      <c r="D583" s="12" t="s">
        <v>1342</v>
      </c>
      <c r="E583" s="14" t="s">
        <v>24</v>
      </c>
      <c r="F583" s="14" t="s">
        <v>21</v>
      </c>
      <c r="G583" s="14" t="s">
        <v>25</v>
      </c>
      <c r="H583" s="12" t="s">
        <v>717</v>
      </c>
      <c r="I583" s="12" t="s">
        <v>947</v>
      </c>
      <c r="J583" s="15"/>
      <c r="K583" s="14" t="s">
        <v>578</v>
      </c>
      <c r="L583" s="12" t="s">
        <v>584</v>
      </c>
      <c r="M583" s="12" t="s">
        <v>1055</v>
      </c>
      <c r="N583" s="12" t="s">
        <v>585</v>
      </c>
      <c r="O583" s="15"/>
      <c r="P583" s="15"/>
    </row>
    <row r="584">
      <c r="A584" s="18">
        <v>45989.0</v>
      </c>
      <c r="B584" s="12" t="s">
        <v>1343</v>
      </c>
      <c r="C584" s="17">
        <v>2.39262752E9</v>
      </c>
      <c r="D584" s="12" t="s">
        <v>1344</v>
      </c>
      <c r="E584" s="14" t="s">
        <v>24</v>
      </c>
      <c r="F584" s="14" t="s">
        <v>21</v>
      </c>
      <c r="G584" s="14" t="s">
        <v>25</v>
      </c>
      <c r="H584" s="12" t="s">
        <v>717</v>
      </c>
      <c r="I584" s="12" t="s">
        <v>947</v>
      </c>
      <c r="J584" s="15"/>
      <c r="K584" s="14" t="s">
        <v>578</v>
      </c>
      <c r="L584" s="12" t="s">
        <v>584</v>
      </c>
      <c r="M584" s="12" t="s">
        <v>1055</v>
      </c>
      <c r="N584" s="12" t="s">
        <v>585</v>
      </c>
      <c r="O584" s="15"/>
      <c r="P584" s="15"/>
    </row>
    <row r="585">
      <c r="A585" s="18">
        <v>45989.0</v>
      </c>
      <c r="B585" s="12" t="s">
        <v>1345</v>
      </c>
      <c r="C585" s="13">
        <f>+541154812753</f>
        <v>541154812753</v>
      </c>
      <c r="D585" s="12" t="s">
        <v>1346</v>
      </c>
      <c r="E585" s="14" t="s">
        <v>24</v>
      </c>
      <c r="F585" s="14" t="s">
        <v>21</v>
      </c>
      <c r="G585" s="14" t="s">
        <v>25</v>
      </c>
      <c r="H585" s="12" t="s">
        <v>717</v>
      </c>
      <c r="I585" s="12" t="s">
        <v>1347</v>
      </c>
      <c r="J585" s="15"/>
      <c r="K585" s="14" t="s">
        <v>578</v>
      </c>
      <c r="L585" s="12" t="s">
        <v>584</v>
      </c>
      <c r="M585" s="12" t="s">
        <v>1055</v>
      </c>
      <c r="N585" s="12" t="s">
        <v>581</v>
      </c>
      <c r="O585" s="15"/>
      <c r="P585" s="15"/>
    </row>
    <row r="586">
      <c r="A586" s="18">
        <v>45989.0</v>
      </c>
      <c r="B586" s="12" t="s">
        <v>1348</v>
      </c>
      <c r="C586" s="13">
        <f>+541158178438</f>
        <v>541158178438</v>
      </c>
      <c r="D586" s="12" t="s">
        <v>1349</v>
      </c>
      <c r="E586" s="14" t="s">
        <v>24</v>
      </c>
      <c r="F586" s="14" t="s">
        <v>21</v>
      </c>
      <c r="G586" s="14" t="s">
        <v>25</v>
      </c>
      <c r="H586" s="12" t="s">
        <v>740</v>
      </c>
      <c r="I586" s="12" t="s">
        <v>1350</v>
      </c>
      <c r="J586" s="15"/>
      <c r="K586" s="14" t="s">
        <v>578</v>
      </c>
      <c r="L586" s="12" t="s">
        <v>584</v>
      </c>
      <c r="M586" s="12" t="s">
        <v>1055</v>
      </c>
      <c r="N586" s="12" t="s">
        <v>581</v>
      </c>
      <c r="O586" s="15"/>
      <c r="P586" s="15"/>
    </row>
    <row r="587">
      <c r="A587" s="18">
        <v>45989.0</v>
      </c>
      <c r="B587" s="12" t="s">
        <v>1351</v>
      </c>
      <c r="C587" s="13">
        <f>+542914399558</f>
        <v>542914399558</v>
      </c>
      <c r="D587" s="12" t="s">
        <v>1352</v>
      </c>
      <c r="E587" s="14" t="s">
        <v>24</v>
      </c>
      <c r="F587" s="14" t="s">
        <v>21</v>
      </c>
      <c r="G587" s="14" t="s">
        <v>25</v>
      </c>
      <c r="H587" s="12" t="s">
        <v>717</v>
      </c>
      <c r="I587" s="12" t="s">
        <v>1353</v>
      </c>
      <c r="J587" s="15"/>
      <c r="K587" s="14" t="s">
        <v>578</v>
      </c>
      <c r="L587" s="12" t="s">
        <v>579</v>
      </c>
      <c r="M587" s="12" t="s">
        <v>624</v>
      </c>
      <c r="N587" s="12" t="s">
        <v>585</v>
      </c>
      <c r="O587" s="15"/>
      <c r="P587" s="15"/>
    </row>
    <row r="588">
      <c r="A588" s="18">
        <v>45989.0</v>
      </c>
      <c r="B588" s="12" t="s">
        <v>1354</v>
      </c>
      <c r="C588" s="13">
        <f>+5492246496781</f>
        <v>5492246496781</v>
      </c>
      <c r="D588" s="12" t="s">
        <v>1355</v>
      </c>
      <c r="E588" s="14" t="s">
        <v>16</v>
      </c>
      <c r="F588" s="12" t="s">
        <v>17</v>
      </c>
      <c r="G588" s="14" t="s">
        <v>18</v>
      </c>
      <c r="H588" s="12" t="s">
        <v>740</v>
      </c>
      <c r="I588" s="12" t="s">
        <v>818</v>
      </c>
      <c r="J588" s="15"/>
      <c r="K588" s="14" t="s">
        <v>578</v>
      </c>
      <c r="L588" s="12" t="s">
        <v>579</v>
      </c>
      <c r="M588" s="12" t="s">
        <v>610</v>
      </c>
      <c r="N588" s="12" t="s">
        <v>585</v>
      </c>
      <c r="O588" s="15"/>
      <c r="P588" s="15"/>
    </row>
    <row r="589">
      <c r="A589" s="18">
        <v>45989.0</v>
      </c>
      <c r="B589" s="12" t="s">
        <v>1356</v>
      </c>
      <c r="C589" s="13">
        <f>+543877455759</f>
        <v>543877455759</v>
      </c>
      <c r="D589" s="12" t="s">
        <v>1357</v>
      </c>
      <c r="E589" s="12" t="s">
        <v>577</v>
      </c>
      <c r="F589" s="12" t="s">
        <v>17</v>
      </c>
      <c r="G589" s="14" t="s">
        <v>25</v>
      </c>
      <c r="H589" s="12" t="s">
        <v>717</v>
      </c>
      <c r="I589" s="12" t="s">
        <v>885</v>
      </c>
      <c r="J589" s="15"/>
      <c r="K589" s="14" t="s">
        <v>578</v>
      </c>
      <c r="L589" s="12" t="s">
        <v>579</v>
      </c>
      <c r="M589" s="12" t="s">
        <v>610</v>
      </c>
      <c r="N589" s="12" t="s">
        <v>581</v>
      </c>
      <c r="O589" s="15"/>
      <c r="P589" s="15"/>
    </row>
    <row r="590">
      <c r="A590" s="18">
        <v>45989.0</v>
      </c>
      <c r="B590" s="12" t="s">
        <v>1358</v>
      </c>
      <c r="C590" s="13">
        <f>+541124581122</f>
        <v>541124581122</v>
      </c>
      <c r="D590" s="12" t="s">
        <v>1359</v>
      </c>
      <c r="E590" s="12" t="s">
        <v>577</v>
      </c>
      <c r="F590" s="14" t="s">
        <v>21</v>
      </c>
      <c r="G590" s="14" t="s">
        <v>25</v>
      </c>
      <c r="H590" s="12" t="s">
        <v>740</v>
      </c>
      <c r="I590" s="12" t="s">
        <v>1360</v>
      </c>
      <c r="J590" s="15"/>
      <c r="K590" s="14" t="s">
        <v>578</v>
      </c>
      <c r="L590" s="12" t="s">
        <v>584</v>
      </c>
      <c r="M590" s="12" t="s">
        <v>1055</v>
      </c>
      <c r="N590" s="12" t="s">
        <v>585</v>
      </c>
      <c r="O590" s="15"/>
      <c r="P590" s="15"/>
    </row>
    <row r="591">
      <c r="A591" s="18">
        <v>45989.0</v>
      </c>
      <c r="B591" s="12" t="s">
        <v>1361</v>
      </c>
      <c r="C591" s="13">
        <f>+542304554383</f>
        <v>542304554383</v>
      </c>
      <c r="D591" s="12" t="s">
        <v>1362</v>
      </c>
      <c r="E591" s="14" t="s">
        <v>16</v>
      </c>
      <c r="F591" s="14" t="s">
        <v>21</v>
      </c>
      <c r="G591" s="14" t="s">
        <v>25</v>
      </c>
      <c r="H591" s="12" t="s">
        <v>717</v>
      </c>
      <c r="I591" s="12" t="s">
        <v>1363</v>
      </c>
      <c r="J591" s="15"/>
      <c r="K591" s="14" t="s">
        <v>578</v>
      </c>
      <c r="L591" s="12" t="s">
        <v>584</v>
      </c>
      <c r="M591" s="12" t="s">
        <v>580</v>
      </c>
      <c r="N591" s="12" t="s">
        <v>585</v>
      </c>
      <c r="O591" s="15"/>
      <c r="P591" s="15"/>
    </row>
    <row r="592">
      <c r="A592" s="18">
        <v>45989.0</v>
      </c>
      <c r="B592" s="12" t="s">
        <v>1364</v>
      </c>
      <c r="C592" s="13">
        <f>+541162327430</f>
        <v>541162327430</v>
      </c>
      <c r="D592" s="12" t="s">
        <v>1365</v>
      </c>
      <c r="E592" s="12" t="s">
        <v>577</v>
      </c>
      <c r="F592" s="14" t="s">
        <v>21</v>
      </c>
      <c r="G592" s="14" t="s">
        <v>25</v>
      </c>
      <c r="H592" s="12" t="s">
        <v>740</v>
      </c>
      <c r="I592" s="12" t="s">
        <v>1366</v>
      </c>
      <c r="J592" s="15"/>
      <c r="K592" s="14" t="s">
        <v>578</v>
      </c>
      <c r="L592" s="12" t="s">
        <v>584</v>
      </c>
      <c r="M592" s="12" t="s">
        <v>1055</v>
      </c>
      <c r="N592" s="12" t="s">
        <v>585</v>
      </c>
      <c r="O592" s="15"/>
      <c r="P592" s="15"/>
    </row>
    <row r="593">
      <c r="A593" s="18">
        <v>45990.0</v>
      </c>
      <c r="B593" s="12" t="s">
        <v>1367</v>
      </c>
      <c r="C593" s="13">
        <f>+543814429694</f>
        <v>543814429694</v>
      </c>
      <c r="D593" s="12" t="s">
        <v>1368</v>
      </c>
      <c r="E593" s="14" t="s">
        <v>16</v>
      </c>
      <c r="F593" s="14" t="s">
        <v>21</v>
      </c>
      <c r="G593" s="14" t="s">
        <v>25</v>
      </c>
      <c r="H593" s="12" t="s">
        <v>717</v>
      </c>
      <c r="I593" s="12" t="s">
        <v>1369</v>
      </c>
      <c r="J593" s="15"/>
      <c r="K593" s="14" t="s">
        <v>578</v>
      </c>
      <c r="L593" s="12" t="s">
        <v>579</v>
      </c>
      <c r="M593" s="12" t="s">
        <v>610</v>
      </c>
      <c r="N593" s="12" t="s">
        <v>581</v>
      </c>
      <c r="O593" s="15"/>
      <c r="P593" s="15"/>
    </row>
    <row r="594">
      <c r="A594" s="18">
        <v>45990.0</v>
      </c>
      <c r="B594" s="12" t="s">
        <v>1370</v>
      </c>
      <c r="C594" s="13">
        <f>+5491158848536</f>
        <v>5491158848536</v>
      </c>
      <c r="D594" s="12" t="s">
        <v>1371</v>
      </c>
      <c r="E594" s="12" t="s">
        <v>577</v>
      </c>
      <c r="F594" s="14" t="s">
        <v>21</v>
      </c>
      <c r="G594" s="14" t="s">
        <v>18</v>
      </c>
      <c r="H594" s="12" t="s">
        <v>717</v>
      </c>
      <c r="I594" s="12" t="s">
        <v>1372</v>
      </c>
      <c r="J594" s="15"/>
      <c r="K594" s="14" t="s">
        <v>578</v>
      </c>
      <c r="L594" s="12" t="s">
        <v>584</v>
      </c>
      <c r="M594" s="12" t="s">
        <v>580</v>
      </c>
      <c r="N594" s="12" t="s">
        <v>585</v>
      </c>
      <c r="O594" s="15"/>
      <c r="P594" s="15"/>
    </row>
    <row r="595">
      <c r="A595" s="18">
        <v>45990.0</v>
      </c>
      <c r="B595" s="12" t="s">
        <v>1373</v>
      </c>
      <c r="C595" s="17">
        <v>1.16256261E9</v>
      </c>
      <c r="D595" s="12" t="s">
        <v>1374</v>
      </c>
      <c r="E595" s="14" t="s">
        <v>16</v>
      </c>
      <c r="F595" s="12" t="s">
        <v>17</v>
      </c>
      <c r="G595" s="9" t="s">
        <v>1045</v>
      </c>
      <c r="H595" s="12" t="s">
        <v>740</v>
      </c>
      <c r="I595" s="12" t="s">
        <v>992</v>
      </c>
      <c r="J595" s="15"/>
      <c r="K595" s="14" t="s">
        <v>578</v>
      </c>
      <c r="L595" s="12" t="s">
        <v>584</v>
      </c>
      <c r="M595" s="12" t="s">
        <v>1055</v>
      </c>
      <c r="N595" s="12" t="s">
        <v>585</v>
      </c>
      <c r="O595" s="15"/>
      <c r="P595" s="15"/>
    </row>
    <row r="596">
      <c r="A596" s="18">
        <v>45990.0</v>
      </c>
      <c r="B596" s="12" t="s">
        <v>1375</v>
      </c>
      <c r="C596" s="13">
        <f>+541123192990</f>
        <v>541123192990</v>
      </c>
      <c r="D596" s="12" t="s">
        <v>1376</v>
      </c>
      <c r="E596" s="14" t="s">
        <v>16</v>
      </c>
      <c r="F596" s="12" t="s">
        <v>17</v>
      </c>
      <c r="G596" s="9" t="s">
        <v>1045</v>
      </c>
      <c r="H596" s="12" t="s">
        <v>740</v>
      </c>
      <c r="I596" s="12" t="s">
        <v>1005</v>
      </c>
      <c r="J596" s="15"/>
      <c r="K596" s="14" t="s">
        <v>578</v>
      </c>
      <c r="L596" s="12" t="s">
        <v>584</v>
      </c>
      <c r="M596" s="12" t="s">
        <v>1055</v>
      </c>
      <c r="N596" s="12" t="s">
        <v>581</v>
      </c>
      <c r="O596" s="15"/>
      <c r="P596" s="15"/>
    </row>
    <row r="597">
      <c r="A597" s="18">
        <v>45991.0</v>
      </c>
      <c r="B597" s="12" t="s">
        <v>1377</v>
      </c>
      <c r="C597" s="13">
        <f>+543462387529</f>
        <v>543462387529</v>
      </c>
      <c r="D597" s="12" t="s">
        <v>1378</v>
      </c>
      <c r="E597" s="14" t="s">
        <v>16</v>
      </c>
      <c r="F597" s="14" t="s">
        <v>21</v>
      </c>
      <c r="G597" s="14" t="s">
        <v>25</v>
      </c>
      <c r="H597" s="12" t="s">
        <v>717</v>
      </c>
      <c r="I597" s="12" t="s">
        <v>1379</v>
      </c>
      <c r="J597" s="15"/>
      <c r="K597" s="14" t="s">
        <v>578</v>
      </c>
      <c r="L597" s="12" t="s">
        <v>579</v>
      </c>
      <c r="M597" s="12" t="s">
        <v>580</v>
      </c>
      <c r="N597" s="12" t="s">
        <v>585</v>
      </c>
      <c r="O597" s="15"/>
      <c r="P597" s="15"/>
    </row>
    <row r="598">
      <c r="A598" s="18">
        <v>45991.0</v>
      </c>
      <c r="B598" s="12" t="s">
        <v>1380</v>
      </c>
      <c r="C598" s="13">
        <f>+541122420672</f>
        <v>541122420672</v>
      </c>
      <c r="D598" s="12" t="s">
        <v>1381</v>
      </c>
      <c r="E598" s="14" t="s">
        <v>24</v>
      </c>
      <c r="F598" s="14" t="s">
        <v>21</v>
      </c>
      <c r="G598" s="14" t="s">
        <v>25</v>
      </c>
      <c r="H598" s="12" t="s">
        <v>740</v>
      </c>
      <c r="I598" s="12" t="s">
        <v>1382</v>
      </c>
      <c r="J598" s="15"/>
      <c r="K598" s="14" t="s">
        <v>578</v>
      </c>
      <c r="L598" s="12" t="s">
        <v>584</v>
      </c>
      <c r="M598" s="12" t="s">
        <v>580</v>
      </c>
      <c r="N598" s="12" t="s">
        <v>581</v>
      </c>
      <c r="O598" s="15"/>
      <c r="P598" s="15"/>
    </row>
    <row r="599">
      <c r="A599" s="18">
        <v>45991.0</v>
      </c>
      <c r="B599" s="12" t="s">
        <v>1383</v>
      </c>
      <c r="C599" s="13">
        <f>+543835690983</f>
        <v>543835690983</v>
      </c>
      <c r="D599" s="12" t="s">
        <v>1384</v>
      </c>
      <c r="E599" s="14" t="s">
        <v>24</v>
      </c>
      <c r="F599" s="14" t="s">
        <v>21</v>
      </c>
      <c r="G599" s="14" t="s">
        <v>25</v>
      </c>
      <c r="H599" s="12" t="s">
        <v>717</v>
      </c>
      <c r="I599" s="12" t="s">
        <v>1385</v>
      </c>
      <c r="J599" s="15"/>
      <c r="K599" s="14" t="s">
        <v>578</v>
      </c>
      <c r="L599" s="12" t="s">
        <v>579</v>
      </c>
      <c r="M599" s="12" t="s">
        <v>1386</v>
      </c>
      <c r="N599" s="12" t="s">
        <v>581</v>
      </c>
      <c r="O599" s="15"/>
      <c r="P599" s="15"/>
    </row>
    <row r="600">
      <c r="A600" s="18">
        <v>45991.0</v>
      </c>
      <c r="B600" s="12" t="s">
        <v>1387</v>
      </c>
      <c r="C600" s="13">
        <f>+541154250354</f>
        <v>541154250354</v>
      </c>
      <c r="D600" s="12" t="s">
        <v>1388</v>
      </c>
      <c r="E600" s="14" t="s">
        <v>24</v>
      </c>
      <c r="F600" s="14" t="s">
        <v>21</v>
      </c>
      <c r="G600" s="14" t="s">
        <v>25</v>
      </c>
      <c r="H600" s="12" t="s">
        <v>717</v>
      </c>
      <c r="I600" s="12" t="s">
        <v>1088</v>
      </c>
      <c r="J600" s="15"/>
      <c r="K600" s="14" t="s">
        <v>578</v>
      </c>
      <c r="L600" s="12" t="s">
        <v>584</v>
      </c>
      <c r="M600" s="12" t="s">
        <v>580</v>
      </c>
      <c r="N600" s="12" t="s">
        <v>585</v>
      </c>
      <c r="O600" s="15"/>
      <c r="P600" s="15"/>
    </row>
    <row r="601">
      <c r="A601" s="18">
        <v>45991.0</v>
      </c>
      <c r="B601" s="12" t="s">
        <v>1389</v>
      </c>
      <c r="C601" s="13">
        <f>+541176621616</f>
        <v>541176621616</v>
      </c>
      <c r="D601" s="12" t="s">
        <v>1390</v>
      </c>
      <c r="E601" s="14" t="s">
        <v>16</v>
      </c>
      <c r="F601" s="14" t="s">
        <v>21</v>
      </c>
      <c r="G601" s="14" t="s">
        <v>25</v>
      </c>
      <c r="H601" s="12" t="s">
        <v>745</v>
      </c>
      <c r="I601" s="12" t="s">
        <v>885</v>
      </c>
      <c r="J601" s="15"/>
      <c r="K601" s="14" t="s">
        <v>578</v>
      </c>
      <c r="L601" s="12" t="s">
        <v>584</v>
      </c>
      <c r="M601" s="12" t="s">
        <v>580</v>
      </c>
      <c r="N601" s="12" t="s">
        <v>581</v>
      </c>
      <c r="O601" s="15"/>
      <c r="P601" s="15"/>
    </row>
    <row r="602">
      <c r="A602" s="18">
        <v>45991.0</v>
      </c>
      <c r="B602" s="12" t="s">
        <v>1391</v>
      </c>
      <c r="C602" s="13">
        <f>+543424096036</f>
        <v>543424096036</v>
      </c>
      <c r="D602" s="12" t="s">
        <v>1392</v>
      </c>
      <c r="E602" s="12" t="s">
        <v>577</v>
      </c>
      <c r="F602" s="14" t="s">
        <v>21</v>
      </c>
      <c r="G602" s="14" t="s">
        <v>18</v>
      </c>
      <c r="H602" s="12" t="s">
        <v>717</v>
      </c>
      <c r="I602" s="12" t="s">
        <v>718</v>
      </c>
      <c r="J602" s="15"/>
      <c r="K602" s="14" t="s">
        <v>578</v>
      </c>
      <c r="L602" s="12" t="s">
        <v>579</v>
      </c>
      <c r="M602" s="12" t="s">
        <v>1055</v>
      </c>
      <c r="N602" s="12" t="s">
        <v>581</v>
      </c>
      <c r="O602" s="15"/>
      <c r="P602" s="15"/>
    </row>
    <row r="603">
      <c r="A603" s="18">
        <v>45991.0</v>
      </c>
      <c r="B603" s="12" t="s">
        <v>1393</v>
      </c>
      <c r="C603" s="13">
        <f>+5493476597252</f>
        <v>5493476597252</v>
      </c>
      <c r="D603" s="12" t="s">
        <v>1394</v>
      </c>
      <c r="E603" s="14" t="s">
        <v>24</v>
      </c>
      <c r="F603" s="14" t="s">
        <v>21</v>
      </c>
      <c r="G603" s="14" t="s">
        <v>18</v>
      </c>
      <c r="H603" s="12" t="s">
        <v>717</v>
      </c>
      <c r="I603" s="12" t="s">
        <v>1395</v>
      </c>
      <c r="J603" s="15"/>
      <c r="K603" s="14" t="s">
        <v>578</v>
      </c>
      <c r="L603" s="12" t="s">
        <v>579</v>
      </c>
      <c r="M603" s="12" t="s">
        <v>610</v>
      </c>
      <c r="N603" s="12" t="s">
        <v>585</v>
      </c>
      <c r="O603" s="15"/>
      <c r="P603" s="15"/>
    </row>
    <row r="604">
      <c r="A604" s="18">
        <v>45991.0</v>
      </c>
      <c r="B604" s="12" t="s">
        <v>1396</v>
      </c>
      <c r="C604" s="13">
        <f>+542804690380</f>
        <v>542804690380</v>
      </c>
      <c r="D604" s="12" t="s">
        <v>1397</v>
      </c>
      <c r="E604" s="14" t="s">
        <v>16</v>
      </c>
      <c r="F604" s="14" t="s">
        <v>21</v>
      </c>
      <c r="G604" s="14" t="s">
        <v>18</v>
      </c>
      <c r="H604" s="12" t="s">
        <v>745</v>
      </c>
      <c r="I604" s="12" t="s">
        <v>1398</v>
      </c>
      <c r="J604" s="15"/>
      <c r="K604" s="14" t="s">
        <v>578</v>
      </c>
      <c r="L604" s="12" t="s">
        <v>579</v>
      </c>
      <c r="M604" s="12" t="s">
        <v>610</v>
      </c>
      <c r="N604" s="12" t="s">
        <v>581</v>
      </c>
      <c r="O604" s="15"/>
      <c r="P604" s="15"/>
    </row>
    <row r="605">
      <c r="A605" s="18">
        <v>45991.0</v>
      </c>
      <c r="B605" s="12" t="s">
        <v>1399</v>
      </c>
      <c r="C605" s="13">
        <f>+543512645380</f>
        <v>543512645380</v>
      </c>
      <c r="D605" s="12" t="s">
        <v>1400</v>
      </c>
      <c r="E605" s="14" t="s">
        <v>24</v>
      </c>
      <c r="F605" s="14" t="s">
        <v>21</v>
      </c>
      <c r="G605" s="9" t="s">
        <v>1045</v>
      </c>
      <c r="H605" s="12" t="s">
        <v>717</v>
      </c>
      <c r="I605" s="12" t="s">
        <v>992</v>
      </c>
      <c r="J605" s="15"/>
      <c r="K605" s="14" t="s">
        <v>578</v>
      </c>
      <c r="L605" s="12" t="s">
        <v>579</v>
      </c>
      <c r="M605" s="12" t="s">
        <v>624</v>
      </c>
      <c r="N605" s="12" t="s">
        <v>581</v>
      </c>
      <c r="O605" s="15"/>
      <c r="P605" s="15"/>
    </row>
    <row r="606">
      <c r="A606" s="18">
        <v>45991.0</v>
      </c>
      <c r="B606" s="12" t="s">
        <v>1401</v>
      </c>
      <c r="C606" s="13">
        <f>+543517578543</f>
        <v>543517578543</v>
      </c>
      <c r="D606" s="12" t="s">
        <v>1402</v>
      </c>
      <c r="E606" s="14" t="s">
        <v>24</v>
      </c>
      <c r="F606" s="14" t="s">
        <v>32</v>
      </c>
      <c r="G606" s="14" t="s">
        <v>25</v>
      </c>
      <c r="H606" s="12" t="s">
        <v>727</v>
      </c>
      <c r="I606" s="12" t="s">
        <v>992</v>
      </c>
      <c r="J606" s="15"/>
      <c r="K606" s="14" t="s">
        <v>578</v>
      </c>
      <c r="L606" s="12" t="s">
        <v>579</v>
      </c>
      <c r="M606" s="12" t="s">
        <v>610</v>
      </c>
      <c r="N606" s="12" t="s">
        <v>585</v>
      </c>
      <c r="O606" s="15"/>
      <c r="P606" s="15"/>
    </row>
    <row r="607">
      <c r="A607" s="18">
        <v>45991.0</v>
      </c>
      <c r="B607" s="12" t="s">
        <v>1403</v>
      </c>
      <c r="C607" s="17">
        <v>1.56562643E8</v>
      </c>
      <c r="D607" s="12" t="s">
        <v>1404</v>
      </c>
      <c r="E607" s="12" t="s">
        <v>577</v>
      </c>
      <c r="F607" s="12" t="s">
        <v>17</v>
      </c>
      <c r="G607" s="9" t="s">
        <v>1045</v>
      </c>
      <c r="H607" s="12" t="s">
        <v>717</v>
      </c>
      <c r="I607" s="12" t="s">
        <v>818</v>
      </c>
      <c r="J607" s="15"/>
      <c r="K607" s="14" t="s">
        <v>578</v>
      </c>
      <c r="L607" s="12" t="s">
        <v>579</v>
      </c>
      <c r="M607" s="12" t="s">
        <v>610</v>
      </c>
      <c r="N607" s="12" t="s">
        <v>585</v>
      </c>
      <c r="O607" s="15"/>
      <c r="P607" s="15"/>
    </row>
    <row r="608">
      <c r="A608" s="18">
        <v>45992.0</v>
      </c>
      <c r="B608" s="9" t="s">
        <v>1405</v>
      </c>
      <c r="C608" s="10">
        <f>+542953411585</f>
        <v>542953411585</v>
      </c>
      <c r="D608" s="9" t="s">
        <v>1406</v>
      </c>
      <c r="E608" s="9" t="s">
        <v>577</v>
      </c>
      <c r="F608" s="14" t="s">
        <v>21</v>
      </c>
      <c r="G608" s="14" t="s">
        <v>18</v>
      </c>
      <c r="H608" s="12" t="s">
        <v>717</v>
      </c>
      <c r="I608" s="9" t="s">
        <v>1407</v>
      </c>
      <c r="J608" s="15"/>
      <c r="K608" s="14" t="s">
        <v>578</v>
      </c>
      <c r="L608" s="9" t="s">
        <v>579</v>
      </c>
      <c r="M608" s="9" t="s">
        <v>580</v>
      </c>
      <c r="N608" s="9" t="s">
        <v>585</v>
      </c>
      <c r="O608" s="15"/>
      <c r="P608" s="15"/>
    </row>
    <row r="609">
      <c r="A609" s="18">
        <v>45992.0</v>
      </c>
      <c r="B609" s="9" t="s">
        <v>1408</v>
      </c>
      <c r="C609" s="11">
        <v>1.1624400002E10</v>
      </c>
      <c r="D609" s="9" t="s">
        <v>1409</v>
      </c>
      <c r="E609" s="14" t="s">
        <v>24</v>
      </c>
      <c r="F609" s="14" t="s">
        <v>21</v>
      </c>
      <c r="G609" s="14" t="s">
        <v>18</v>
      </c>
      <c r="H609" s="12" t="s">
        <v>717</v>
      </c>
      <c r="I609" s="9" t="s">
        <v>734</v>
      </c>
      <c r="J609" s="15"/>
      <c r="K609" s="14" t="s">
        <v>578</v>
      </c>
      <c r="L609" s="9" t="s">
        <v>584</v>
      </c>
      <c r="M609" s="9" t="s">
        <v>580</v>
      </c>
      <c r="N609" s="9" t="s">
        <v>585</v>
      </c>
      <c r="O609" s="15"/>
      <c r="P609" s="15"/>
    </row>
    <row r="610">
      <c r="A610" s="18">
        <v>45992.0</v>
      </c>
      <c r="B610" s="9" t="s">
        <v>1410</v>
      </c>
      <c r="C610" s="11">
        <v>1.123333432E9</v>
      </c>
      <c r="D610" s="9" t="s">
        <v>1411</v>
      </c>
      <c r="E610" s="9" t="s">
        <v>577</v>
      </c>
      <c r="F610" s="14" t="s">
        <v>21</v>
      </c>
      <c r="G610" s="14" t="s">
        <v>25</v>
      </c>
      <c r="H610" s="12" t="s">
        <v>740</v>
      </c>
      <c r="I610" s="9" t="s">
        <v>818</v>
      </c>
      <c r="J610" s="15"/>
      <c r="K610" s="14" t="s">
        <v>578</v>
      </c>
      <c r="L610" s="9" t="s">
        <v>584</v>
      </c>
      <c r="M610" s="9" t="s">
        <v>580</v>
      </c>
      <c r="N610" s="9" t="s">
        <v>585</v>
      </c>
      <c r="O610" s="15"/>
      <c r="P610" s="15"/>
    </row>
    <row r="611">
      <c r="A611" s="18">
        <v>45992.0</v>
      </c>
      <c r="B611" s="9" t="s">
        <v>1412</v>
      </c>
      <c r="C611" s="10">
        <f>+543562528718</f>
        <v>543562528718</v>
      </c>
      <c r="D611" s="9" t="s">
        <v>1413</v>
      </c>
      <c r="E611" s="14" t="s">
        <v>24</v>
      </c>
      <c r="F611" s="14" t="s">
        <v>21</v>
      </c>
      <c r="G611" s="14" t="s">
        <v>25</v>
      </c>
      <c r="H611" s="12" t="s">
        <v>717</v>
      </c>
      <c r="I611" s="9" t="s">
        <v>1414</v>
      </c>
      <c r="J611" s="15"/>
      <c r="K611" s="14" t="s">
        <v>578</v>
      </c>
      <c r="L611" s="9" t="s">
        <v>579</v>
      </c>
      <c r="M611" s="9" t="s">
        <v>580</v>
      </c>
      <c r="N611" s="9" t="s">
        <v>585</v>
      </c>
      <c r="O611" s="15"/>
      <c r="P611" s="15"/>
    </row>
    <row r="612">
      <c r="A612" s="18">
        <v>45992.0</v>
      </c>
      <c r="B612" s="9" t="s">
        <v>1415</v>
      </c>
      <c r="C612" s="10">
        <f>+541156431706</f>
        <v>541156431706</v>
      </c>
      <c r="D612" s="9" t="s">
        <v>1416</v>
      </c>
      <c r="E612" s="9" t="s">
        <v>577</v>
      </c>
      <c r="F612" s="14" t="s">
        <v>21</v>
      </c>
      <c r="G612" s="14" t="s">
        <v>18</v>
      </c>
      <c r="H612" s="12" t="s">
        <v>717</v>
      </c>
      <c r="I612" s="9" t="s">
        <v>734</v>
      </c>
      <c r="J612" s="15"/>
      <c r="K612" s="14" t="s">
        <v>578</v>
      </c>
      <c r="L612" s="9" t="s">
        <v>584</v>
      </c>
      <c r="M612" s="9" t="s">
        <v>580</v>
      </c>
      <c r="N612" s="9" t="s">
        <v>585</v>
      </c>
      <c r="O612" s="15"/>
      <c r="P612" s="15"/>
    </row>
    <row r="613">
      <c r="A613" s="18">
        <v>45993.0</v>
      </c>
      <c r="B613" s="9" t="s">
        <v>621</v>
      </c>
      <c r="C613" s="10">
        <f>+541166032542</f>
        <v>541166032542</v>
      </c>
      <c r="D613" s="9" t="s">
        <v>622</v>
      </c>
      <c r="E613" s="14" t="s">
        <v>24</v>
      </c>
      <c r="F613" s="14" t="s">
        <v>32</v>
      </c>
      <c r="G613" s="14" t="s">
        <v>25</v>
      </c>
      <c r="H613" s="12" t="s">
        <v>740</v>
      </c>
      <c r="I613" s="9" t="s">
        <v>992</v>
      </c>
      <c r="K613" s="14" t="s">
        <v>578</v>
      </c>
      <c r="L613" s="9" t="s">
        <v>584</v>
      </c>
      <c r="M613" s="9" t="s">
        <v>580</v>
      </c>
      <c r="N613" s="9" t="s">
        <v>585</v>
      </c>
    </row>
    <row r="614">
      <c r="A614" s="18">
        <v>45993.0</v>
      </c>
      <c r="B614" s="9" t="s">
        <v>1417</v>
      </c>
      <c r="C614" s="10">
        <f>+5491168564513</f>
        <v>5491168564513</v>
      </c>
      <c r="D614" s="9" t="s">
        <v>1418</v>
      </c>
      <c r="E614" s="14" t="s">
        <v>24</v>
      </c>
      <c r="F614" s="14" t="s">
        <v>32</v>
      </c>
      <c r="G614" s="14" t="s">
        <v>25</v>
      </c>
      <c r="H614" s="12" t="s">
        <v>740</v>
      </c>
      <c r="I614" s="9" t="s">
        <v>1225</v>
      </c>
      <c r="K614" s="14" t="s">
        <v>578</v>
      </c>
      <c r="L614" s="9" t="s">
        <v>584</v>
      </c>
      <c r="M614" s="9" t="s">
        <v>580</v>
      </c>
      <c r="N614" s="9" t="s">
        <v>585</v>
      </c>
    </row>
    <row r="615">
      <c r="A615" s="18">
        <v>45993.0</v>
      </c>
      <c r="B615" s="9" t="s">
        <v>1419</v>
      </c>
      <c r="C615" s="10">
        <f>+541167838376</f>
        <v>541167838376</v>
      </c>
      <c r="D615" s="9" t="s">
        <v>1420</v>
      </c>
      <c r="E615" s="14" t="s">
        <v>24</v>
      </c>
      <c r="F615" s="14" t="s">
        <v>32</v>
      </c>
      <c r="G615" s="14" t="s">
        <v>25</v>
      </c>
      <c r="H615" s="9" t="s">
        <v>745</v>
      </c>
      <c r="I615" s="9" t="s">
        <v>1421</v>
      </c>
      <c r="K615" s="14" t="s">
        <v>578</v>
      </c>
      <c r="L615" s="9" t="s">
        <v>584</v>
      </c>
      <c r="M615" s="9" t="s">
        <v>580</v>
      </c>
      <c r="N615" s="9" t="s">
        <v>585</v>
      </c>
    </row>
    <row r="616">
      <c r="A616" s="18">
        <v>45993.0</v>
      </c>
      <c r="B616" s="9" t="s">
        <v>1422</v>
      </c>
      <c r="C616" s="10">
        <f>+541125955516</f>
        <v>541125955516</v>
      </c>
      <c r="D616" s="9" t="s">
        <v>1423</v>
      </c>
      <c r="E616" s="9" t="s">
        <v>577</v>
      </c>
      <c r="F616" s="14" t="s">
        <v>21</v>
      </c>
      <c r="G616" s="14" t="s">
        <v>18</v>
      </c>
      <c r="H616" s="12" t="s">
        <v>717</v>
      </c>
      <c r="I616" s="9" t="s">
        <v>1424</v>
      </c>
      <c r="K616" s="14" t="s">
        <v>578</v>
      </c>
      <c r="L616" s="9" t="s">
        <v>584</v>
      </c>
      <c r="M616" s="9" t="s">
        <v>580</v>
      </c>
      <c r="N616" s="9" t="s">
        <v>581</v>
      </c>
    </row>
    <row r="617">
      <c r="A617" s="18">
        <v>45993.0</v>
      </c>
      <c r="B617" s="9" t="s">
        <v>1425</v>
      </c>
      <c r="C617" s="11">
        <v>3.533432002E9</v>
      </c>
      <c r="D617" s="9" t="s">
        <v>1426</v>
      </c>
      <c r="E617" s="9" t="s">
        <v>577</v>
      </c>
      <c r="F617" s="14" t="s">
        <v>21</v>
      </c>
      <c r="G617" s="14" t="s">
        <v>18</v>
      </c>
      <c r="H617" s="12" t="s">
        <v>717</v>
      </c>
      <c r="I617" s="9" t="s">
        <v>1427</v>
      </c>
      <c r="K617" s="14" t="s">
        <v>578</v>
      </c>
      <c r="L617" s="9" t="s">
        <v>579</v>
      </c>
      <c r="M617" s="9" t="s">
        <v>580</v>
      </c>
      <c r="N617" s="9" t="s">
        <v>585</v>
      </c>
    </row>
    <row r="618">
      <c r="A618" s="18">
        <v>45993.0</v>
      </c>
      <c r="B618" s="9" t="s">
        <v>1428</v>
      </c>
      <c r="C618" s="10">
        <f>+543462223242</f>
        <v>543462223242</v>
      </c>
      <c r="D618" s="9" t="s">
        <v>1429</v>
      </c>
      <c r="E618" s="14" t="s">
        <v>24</v>
      </c>
      <c r="F618" s="14" t="s">
        <v>21</v>
      </c>
      <c r="G618" s="14" t="s">
        <v>18</v>
      </c>
      <c r="H618" s="12" t="s">
        <v>717</v>
      </c>
      <c r="I618" s="9" t="s">
        <v>965</v>
      </c>
      <c r="K618" s="14" t="s">
        <v>578</v>
      </c>
      <c r="L618" s="9" t="s">
        <v>579</v>
      </c>
      <c r="M618" s="9" t="s">
        <v>580</v>
      </c>
      <c r="N618" s="9" t="s">
        <v>581</v>
      </c>
    </row>
    <row r="619">
      <c r="A619" s="18">
        <v>45993.0</v>
      </c>
      <c r="B619" s="9" t="s">
        <v>1430</v>
      </c>
      <c r="C619" s="10">
        <f>+5491157290826</f>
        <v>5491157290826</v>
      </c>
      <c r="D619" s="9" t="s">
        <v>29</v>
      </c>
      <c r="E619" s="14" t="s">
        <v>24</v>
      </c>
      <c r="F619" s="14" t="s">
        <v>21</v>
      </c>
      <c r="G619" s="14" t="s">
        <v>18</v>
      </c>
      <c r="H619" s="12" t="s">
        <v>740</v>
      </c>
      <c r="I619" s="9" t="s">
        <v>734</v>
      </c>
      <c r="K619" s="14" t="s">
        <v>578</v>
      </c>
      <c r="L619" s="9" t="s">
        <v>584</v>
      </c>
      <c r="M619" s="9" t="s">
        <v>580</v>
      </c>
      <c r="N619" s="9" t="s">
        <v>585</v>
      </c>
    </row>
    <row r="620">
      <c r="A620" s="18">
        <v>45993.0</v>
      </c>
      <c r="B620" s="9" t="s">
        <v>1431</v>
      </c>
      <c r="C620" s="10">
        <f>+5492664027037</f>
        <v>5492664027037</v>
      </c>
      <c r="D620" s="9" t="s">
        <v>1432</v>
      </c>
      <c r="E620" s="14" t="s">
        <v>24</v>
      </c>
      <c r="F620" s="14" t="s">
        <v>21</v>
      </c>
      <c r="G620" s="14" t="s">
        <v>25</v>
      </c>
      <c r="H620" s="12" t="s">
        <v>717</v>
      </c>
      <c r="I620" s="9" t="s">
        <v>1433</v>
      </c>
      <c r="K620" s="14" t="s">
        <v>578</v>
      </c>
      <c r="L620" s="9" t="s">
        <v>584</v>
      </c>
      <c r="M620" s="9" t="s">
        <v>580</v>
      </c>
      <c r="N620" s="9" t="s">
        <v>581</v>
      </c>
    </row>
    <row r="621">
      <c r="A621" s="18">
        <v>45993.0</v>
      </c>
      <c r="B621" s="9" t="s">
        <v>1434</v>
      </c>
      <c r="C621" s="10">
        <f>+541157536096</f>
        <v>541157536096</v>
      </c>
      <c r="D621" s="9" t="s">
        <v>1435</v>
      </c>
      <c r="E621" s="9" t="s">
        <v>577</v>
      </c>
      <c r="F621" s="14" t="s">
        <v>21</v>
      </c>
      <c r="G621" s="14" t="s">
        <v>25</v>
      </c>
      <c r="H621" s="12" t="s">
        <v>717</v>
      </c>
      <c r="I621" s="9" t="s">
        <v>1289</v>
      </c>
      <c r="K621" s="14" t="s">
        <v>578</v>
      </c>
      <c r="L621" s="9" t="s">
        <v>584</v>
      </c>
      <c r="M621" s="9" t="s">
        <v>580</v>
      </c>
      <c r="N621" s="9" t="s">
        <v>585</v>
      </c>
    </row>
    <row r="622">
      <c r="A622" s="18">
        <v>45993.0</v>
      </c>
      <c r="B622" s="9" t="s">
        <v>1436</v>
      </c>
      <c r="C622" s="10">
        <f>+543772413602</f>
        <v>543772413602</v>
      </c>
      <c r="D622" s="9" t="s">
        <v>1437</v>
      </c>
      <c r="E622" s="9" t="s">
        <v>577</v>
      </c>
      <c r="F622" s="14" t="s">
        <v>21</v>
      </c>
      <c r="G622" s="14" t="s">
        <v>25</v>
      </c>
      <c r="H622" s="12" t="s">
        <v>717</v>
      </c>
      <c r="I622" s="9" t="s">
        <v>1258</v>
      </c>
      <c r="K622" s="14" t="s">
        <v>578</v>
      </c>
      <c r="L622" s="9" t="s">
        <v>579</v>
      </c>
      <c r="M622" s="9" t="s">
        <v>580</v>
      </c>
      <c r="N622" s="9" t="s">
        <v>581</v>
      </c>
    </row>
    <row r="623">
      <c r="A623" s="18">
        <v>45993.0</v>
      </c>
      <c r="B623" s="9" t="s">
        <v>1438</v>
      </c>
      <c r="C623" s="10">
        <f>+542234384304</f>
        <v>542234384304</v>
      </c>
      <c r="D623" s="9" t="s">
        <v>1439</v>
      </c>
      <c r="E623" s="14" t="s">
        <v>16</v>
      </c>
      <c r="F623" s="12" t="s">
        <v>17</v>
      </c>
      <c r="G623" s="14" t="s">
        <v>18</v>
      </c>
      <c r="H623" s="9" t="s">
        <v>745</v>
      </c>
      <c r="I623" s="9" t="s">
        <v>855</v>
      </c>
      <c r="K623" s="14" t="s">
        <v>578</v>
      </c>
      <c r="L623" s="9" t="s">
        <v>579</v>
      </c>
      <c r="M623" s="9" t="s">
        <v>580</v>
      </c>
      <c r="N623" s="9" t="s">
        <v>581</v>
      </c>
    </row>
    <row r="624">
      <c r="A624" s="18">
        <v>45993.0</v>
      </c>
      <c r="B624" s="9" t="s">
        <v>1440</v>
      </c>
      <c r="C624" s="10">
        <f>+543521416654</f>
        <v>543521416654</v>
      </c>
      <c r="D624" s="9" t="s">
        <v>1441</v>
      </c>
      <c r="E624" s="9" t="s">
        <v>577</v>
      </c>
      <c r="F624" s="14" t="s">
        <v>21</v>
      </c>
      <c r="G624" s="14" t="s">
        <v>18</v>
      </c>
      <c r="H624" s="12" t="s">
        <v>740</v>
      </c>
      <c r="I624" s="9" t="s">
        <v>1442</v>
      </c>
      <c r="K624" s="14" t="s">
        <v>578</v>
      </c>
      <c r="L624" s="9" t="s">
        <v>584</v>
      </c>
      <c r="M624" s="9" t="s">
        <v>580</v>
      </c>
      <c r="N624" s="9" t="s">
        <v>581</v>
      </c>
    </row>
    <row r="625">
      <c r="A625" s="18">
        <v>45993.0</v>
      </c>
      <c r="B625" s="9" t="s">
        <v>1443</v>
      </c>
      <c r="C625" s="10">
        <f>+542664635242</f>
        <v>542664635242</v>
      </c>
      <c r="D625" s="9" t="s">
        <v>1444</v>
      </c>
      <c r="E625" s="14" t="s">
        <v>16</v>
      </c>
      <c r="F625" s="12" t="s">
        <v>17</v>
      </c>
      <c r="G625" s="14" t="s">
        <v>18</v>
      </c>
      <c r="H625" s="12" t="s">
        <v>717</v>
      </c>
      <c r="I625" s="9" t="s">
        <v>1445</v>
      </c>
      <c r="K625" s="14" t="s">
        <v>578</v>
      </c>
      <c r="L625" s="9" t="s">
        <v>579</v>
      </c>
      <c r="M625" s="9" t="s">
        <v>580</v>
      </c>
      <c r="N625" s="9" t="s">
        <v>585</v>
      </c>
    </row>
    <row r="626">
      <c r="A626" s="18">
        <v>45993.0</v>
      </c>
      <c r="B626" s="9" t="s">
        <v>1446</v>
      </c>
      <c r="C626" s="10">
        <f>+5491133167103</f>
        <v>5491133167103</v>
      </c>
      <c r="D626" s="9" t="s">
        <v>1447</v>
      </c>
      <c r="E626" s="14" t="s">
        <v>24</v>
      </c>
      <c r="F626" s="14" t="s">
        <v>21</v>
      </c>
      <c r="G626" s="14" t="s">
        <v>18</v>
      </c>
      <c r="H626" s="12" t="s">
        <v>717</v>
      </c>
      <c r="I626" s="9" t="s">
        <v>1448</v>
      </c>
      <c r="K626" s="14" t="s">
        <v>578</v>
      </c>
      <c r="L626" s="9" t="s">
        <v>584</v>
      </c>
      <c r="M626" s="9" t="s">
        <v>580</v>
      </c>
      <c r="N626" s="9" t="s">
        <v>585</v>
      </c>
    </row>
    <row r="627">
      <c r="A627" s="18">
        <v>45994.0</v>
      </c>
      <c r="B627" s="7" t="s">
        <v>1449</v>
      </c>
      <c r="C627" s="21">
        <f>+5491168560027</f>
        <v>5491168560027</v>
      </c>
      <c r="D627" s="7" t="s">
        <v>1450</v>
      </c>
      <c r="E627" s="14" t="s">
        <v>16</v>
      </c>
      <c r="F627" s="12" t="s">
        <v>17</v>
      </c>
      <c r="G627" s="14" t="s">
        <v>25</v>
      </c>
      <c r="H627" s="12" t="s">
        <v>717</v>
      </c>
      <c r="I627" s="7" t="s">
        <v>1451</v>
      </c>
      <c r="K627" s="14" t="s">
        <v>578</v>
      </c>
      <c r="L627" s="7" t="s">
        <v>584</v>
      </c>
      <c r="M627" s="9" t="s">
        <v>580</v>
      </c>
      <c r="N627" s="7" t="s">
        <v>585</v>
      </c>
    </row>
    <row r="628">
      <c r="A628" s="18">
        <v>45994.0</v>
      </c>
      <c r="B628" s="7" t="s">
        <v>1452</v>
      </c>
      <c r="C628" s="21">
        <f>+541157457559</f>
        <v>541157457559</v>
      </c>
      <c r="D628" s="7" t="s">
        <v>1453</v>
      </c>
      <c r="E628" s="14" t="s">
        <v>24</v>
      </c>
      <c r="F628" s="14" t="s">
        <v>21</v>
      </c>
      <c r="G628" s="9" t="s">
        <v>1045</v>
      </c>
      <c r="H628" s="12" t="s">
        <v>717</v>
      </c>
      <c r="I628" s="7" t="s">
        <v>1454</v>
      </c>
      <c r="K628" s="14" t="s">
        <v>578</v>
      </c>
      <c r="L628" s="7" t="s">
        <v>584</v>
      </c>
      <c r="M628" s="9" t="s">
        <v>580</v>
      </c>
      <c r="N628" s="7" t="s">
        <v>581</v>
      </c>
    </row>
    <row r="629">
      <c r="A629" s="18">
        <v>45994.0</v>
      </c>
      <c r="B629" s="7" t="s">
        <v>1455</v>
      </c>
      <c r="C629" s="21">
        <f>+541167441241</f>
        <v>541167441241</v>
      </c>
      <c r="D629" s="7" t="s">
        <v>1456</v>
      </c>
      <c r="E629" s="14" t="s">
        <v>24</v>
      </c>
      <c r="F629" s="12" t="s">
        <v>17</v>
      </c>
      <c r="G629" s="14" t="s">
        <v>18</v>
      </c>
      <c r="H629" s="12" t="s">
        <v>717</v>
      </c>
      <c r="I629" s="7" t="s">
        <v>770</v>
      </c>
      <c r="K629" s="14" t="s">
        <v>578</v>
      </c>
      <c r="L629" s="7" t="s">
        <v>584</v>
      </c>
      <c r="M629" s="9" t="s">
        <v>580</v>
      </c>
      <c r="N629" s="7" t="s">
        <v>585</v>
      </c>
    </row>
    <row r="630">
      <c r="A630" s="18">
        <v>45994.0</v>
      </c>
      <c r="B630" s="7" t="s">
        <v>1457</v>
      </c>
      <c r="C630" s="21">
        <f>+5493764828880</f>
        <v>5493764828880</v>
      </c>
      <c r="D630" s="7" t="s">
        <v>1458</v>
      </c>
      <c r="E630" s="14" t="s">
        <v>24</v>
      </c>
      <c r="F630" s="14" t="s">
        <v>21</v>
      </c>
      <c r="G630" s="14" t="s">
        <v>25</v>
      </c>
      <c r="H630" s="9" t="s">
        <v>745</v>
      </c>
      <c r="I630" s="7" t="s">
        <v>1459</v>
      </c>
      <c r="K630" s="14" t="s">
        <v>578</v>
      </c>
      <c r="L630" s="7" t="s">
        <v>579</v>
      </c>
      <c r="M630" s="9" t="s">
        <v>580</v>
      </c>
      <c r="N630" s="7" t="s">
        <v>585</v>
      </c>
    </row>
    <row r="631">
      <c r="A631" s="18">
        <v>45994.0</v>
      </c>
      <c r="B631" s="7" t="s">
        <v>1460</v>
      </c>
      <c r="C631" s="21">
        <f>+5492974058790</f>
        <v>5492974058790</v>
      </c>
      <c r="D631" s="7" t="s">
        <v>1461</v>
      </c>
      <c r="E631" s="14" t="s">
        <v>16</v>
      </c>
      <c r="F631" s="12" t="s">
        <v>17</v>
      </c>
      <c r="G631" s="14" t="s">
        <v>25</v>
      </c>
      <c r="H631" s="9" t="s">
        <v>727</v>
      </c>
      <c r="I631" s="7" t="s">
        <v>1462</v>
      </c>
      <c r="K631" s="14" t="s">
        <v>578</v>
      </c>
      <c r="L631" s="7" t="s">
        <v>579</v>
      </c>
      <c r="M631" s="9" t="s">
        <v>580</v>
      </c>
      <c r="N631" s="7" t="s">
        <v>581</v>
      </c>
    </row>
    <row r="632">
      <c r="A632" s="18">
        <v>45994.0</v>
      </c>
      <c r="B632" s="7" t="s">
        <v>1463</v>
      </c>
      <c r="C632" s="21">
        <f>+541131902995</f>
        <v>541131902995</v>
      </c>
      <c r="D632" s="7" t="s">
        <v>1464</v>
      </c>
      <c r="E632" s="7" t="s">
        <v>577</v>
      </c>
      <c r="F632" s="14" t="s">
        <v>21</v>
      </c>
      <c r="G632" s="14" t="s">
        <v>25</v>
      </c>
      <c r="H632" s="9" t="s">
        <v>745</v>
      </c>
      <c r="I632" s="7" t="s">
        <v>1465</v>
      </c>
      <c r="K632" s="14" t="s">
        <v>578</v>
      </c>
      <c r="L632" s="7" t="s">
        <v>584</v>
      </c>
      <c r="M632" s="9" t="s">
        <v>580</v>
      </c>
      <c r="N632" s="7" t="s">
        <v>581</v>
      </c>
    </row>
    <row r="633">
      <c r="A633" s="18">
        <v>45994.0</v>
      </c>
      <c r="B633" s="7" t="s">
        <v>1466</v>
      </c>
      <c r="C633" s="21">
        <f>+543412798125</f>
        <v>543412798125</v>
      </c>
      <c r="D633" s="7" t="s">
        <v>1467</v>
      </c>
      <c r="E633" s="7" t="s">
        <v>577</v>
      </c>
      <c r="F633" s="14" t="s">
        <v>21</v>
      </c>
      <c r="G633" s="14" t="s">
        <v>25</v>
      </c>
      <c r="H633" s="12" t="s">
        <v>717</v>
      </c>
      <c r="I633" s="7" t="s">
        <v>1468</v>
      </c>
      <c r="K633" s="14" t="s">
        <v>578</v>
      </c>
      <c r="L633" s="7" t="s">
        <v>584</v>
      </c>
      <c r="M633" s="9" t="s">
        <v>580</v>
      </c>
      <c r="N633" s="7" t="s">
        <v>585</v>
      </c>
    </row>
    <row r="634">
      <c r="A634" s="18">
        <v>45994.0</v>
      </c>
      <c r="B634" s="7" t="s">
        <v>1469</v>
      </c>
      <c r="C634" s="21">
        <f>+542392606921</f>
        <v>542392606921</v>
      </c>
      <c r="D634" s="7" t="s">
        <v>1470</v>
      </c>
      <c r="E634" s="14" t="s">
        <v>16</v>
      </c>
      <c r="F634" s="14" t="s">
        <v>21</v>
      </c>
      <c r="G634" s="14" t="s">
        <v>25</v>
      </c>
      <c r="H634" s="12" t="s">
        <v>717</v>
      </c>
      <c r="I634" s="7" t="s">
        <v>1471</v>
      </c>
      <c r="K634" s="14" t="s">
        <v>578</v>
      </c>
      <c r="L634" s="7" t="s">
        <v>579</v>
      </c>
      <c r="M634" s="9" t="s">
        <v>580</v>
      </c>
      <c r="N634" s="7" t="s">
        <v>585</v>
      </c>
    </row>
    <row r="635">
      <c r="A635" s="4">
        <v>45995.0</v>
      </c>
      <c r="B635" s="7" t="s">
        <v>1472</v>
      </c>
      <c r="C635" s="21">
        <f>+543415661363</f>
        <v>543415661363</v>
      </c>
      <c r="D635" s="7" t="s">
        <v>1473</v>
      </c>
      <c r="E635" s="14" t="s">
        <v>24</v>
      </c>
      <c r="F635" s="14" t="s">
        <v>21</v>
      </c>
      <c r="G635" s="14" t="s">
        <v>25</v>
      </c>
      <c r="H635" s="12" t="s">
        <v>717</v>
      </c>
      <c r="I635" s="7" t="s">
        <v>1474</v>
      </c>
      <c r="K635" s="14" t="s">
        <v>578</v>
      </c>
      <c r="L635" s="7" t="s">
        <v>579</v>
      </c>
      <c r="M635" s="9" t="s">
        <v>580</v>
      </c>
      <c r="N635" s="7" t="s">
        <v>581</v>
      </c>
    </row>
    <row r="636">
      <c r="A636" s="4">
        <v>45995.0</v>
      </c>
      <c r="B636" s="7" t="s">
        <v>1475</v>
      </c>
      <c r="C636" s="21">
        <f>+5491151261386</f>
        <v>5491151261386</v>
      </c>
      <c r="D636" s="7" t="s">
        <v>1476</v>
      </c>
      <c r="E636" s="14" t="s">
        <v>24</v>
      </c>
      <c r="F636" s="12" t="s">
        <v>17</v>
      </c>
      <c r="G636" s="14" t="s">
        <v>25</v>
      </c>
      <c r="H636" s="12" t="s">
        <v>740</v>
      </c>
      <c r="I636" s="7" t="s">
        <v>1477</v>
      </c>
      <c r="K636" s="14" t="s">
        <v>578</v>
      </c>
      <c r="L636" s="7" t="s">
        <v>584</v>
      </c>
      <c r="M636" s="9" t="s">
        <v>580</v>
      </c>
      <c r="N636" s="7" t="s">
        <v>585</v>
      </c>
    </row>
    <row r="637">
      <c r="A637" s="4">
        <v>45995.0</v>
      </c>
      <c r="B637" s="7" t="s">
        <v>1449</v>
      </c>
      <c r="C637" s="22">
        <f>+5491168560027</f>
        <v>5491168560027</v>
      </c>
      <c r="D637" s="7" t="s">
        <v>1450</v>
      </c>
      <c r="E637" s="14" t="s">
        <v>16</v>
      </c>
      <c r="F637" s="12" t="s">
        <v>17</v>
      </c>
      <c r="G637" s="14" t="s">
        <v>25</v>
      </c>
      <c r="H637" s="12" t="s">
        <v>717</v>
      </c>
      <c r="I637" s="7" t="s">
        <v>1451</v>
      </c>
      <c r="K637" s="14" t="s">
        <v>578</v>
      </c>
      <c r="L637" s="7" t="s">
        <v>584</v>
      </c>
      <c r="M637" s="9" t="s">
        <v>580</v>
      </c>
      <c r="N637" s="7" t="s">
        <v>585</v>
      </c>
    </row>
    <row r="638">
      <c r="A638" s="4">
        <v>45996.0</v>
      </c>
      <c r="B638" s="7" t="s">
        <v>1478</v>
      </c>
      <c r="C638" s="23">
        <v>3.814123477E9</v>
      </c>
      <c r="D638" s="7" t="s">
        <v>1479</v>
      </c>
      <c r="E638" s="14" t="s">
        <v>24</v>
      </c>
      <c r="F638" s="14" t="s">
        <v>21</v>
      </c>
      <c r="G638" s="14" t="s">
        <v>18</v>
      </c>
      <c r="H638" s="12" t="s">
        <v>717</v>
      </c>
      <c r="I638" s="7" t="s">
        <v>718</v>
      </c>
      <c r="K638" s="14" t="s">
        <v>578</v>
      </c>
      <c r="L638" s="7" t="s">
        <v>579</v>
      </c>
      <c r="M638" s="5" t="s">
        <v>580</v>
      </c>
      <c r="N638" s="7" t="s">
        <v>581</v>
      </c>
    </row>
    <row r="639">
      <c r="A639" s="4">
        <v>45996.0</v>
      </c>
      <c r="B639" s="7" t="s">
        <v>1480</v>
      </c>
      <c r="C639" s="21">
        <f>+541128646678</f>
        <v>541128646678</v>
      </c>
      <c r="D639" s="7" t="s">
        <v>1481</v>
      </c>
      <c r="E639" s="7" t="s">
        <v>577</v>
      </c>
      <c r="F639" s="14" t="s">
        <v>32</v>
      </c>
      <c r="G639" s="14" t="s">
        <v>25</v>
      </c>
      <c r="H639" s="9" t="s">
        <v>745</v>
      </c>
      <c r="I639" s="7" t="s">
        <v>718</v>
      </c>
      <c r="K639" s="14" t="s">
        <v>578</v>
      </c>
      <c r="L639" s="7" t="s">
        <v>584</v>
      </c>
      <c r="M639" s="9" t="s">
        <v>580</v>
      </c>
      <c r="N639" s="7" t="s">
        <v>585</v>
      </c>
    </row>
    <row r="640">
      <c r="A640" s="4">
        <v>45996.0</v>
      </c>
      <c r="B640" s="7" t="s">
        <v>1482</v>
      </c>
      <c r="C640" s="21">
        <f>+5493585700084</f>
        <v>5493585700084</v>
      </c>
      <c r="D640" s="7" t="s">
        <v>1483</v>
      </c>
      <c r="E640" s="14" t="s">
        <v>16</v>
      </c>
      <c r="F640" s="14" t="s">
        <v>32</v>
      </c>
      <c r="G640" s="14" t="s">
        <v>25</v>
      </c>
      <c r="H640" s="12" t="s">
        <v>740</v>
      </c>
      <c r="I640" s="7" t="s">
        <v>1484</v>
      </c>
      <c r="K640" s="14" t="s">
        <v>578</v>
      </c>
      <c r="L640" s="7" t="s">
        <v>579</v>
      </c>
      <c r="M640" s="5" t="s">
        <v>580</v>
      </c>
      <c r="N640" s="7" t="s">
        <v>585</v>
      </c>
    </row>
    <row r="641">
      <c r="A641" s="4">
        <v>45996.0</v>
      </c>
      <c r="B641" s="7" t="s">
        <v>1485</v>
      </c>
      <c r="C641" s="21">
        <f>+543413664958</f>
        <v>543413664958</v>
      </c>
      <c r="D641" s="7" t="s">
        <v>1486</v>
      </c>
      <c r="E641" s="14" t="s">
        <v>24</v>
      </c>
      <c r="F641" s="12" t="s">
        <v>17</v>
      </c>
      <c r="G641" s="14" t="s">
        <v>25</v>
      </c>
      <c r="H641" s="12" t="s">
        <v>740</v>
      </c>
      <c r="I641" s="7" t="s">
        <v>718</v>
      </c>
      <c r="K641" s="14" t="s">
        <v>578</v>
      </c>
      <c r="L641" s="7" t="s">
        <v>579</v>
      </c>
      <c r="M641" s="9" t="s">
        <v>580</v>
      </c>
      <c r="N641" s="7" t="s">
        <v>585</v>
      </c>
    </row>
    <row r="642">
      <c r="A642" s="4">
        <v>45996.0</v>
      </c>
      <c r="B642" s="7" t="s">
        <v>1487</v>
      </c>
      <c r="C642" s="23">
        <v>3.5344163E9</v>
      </c>
      <c r="D642" s="7" t="s">
        <v>1488</v>
      </c>
      <c r="E642" s="14" t="s">
        <v>24</v>
      </c>
      <c r="F642" s="14" t="s">
        <v>21</v>
      </c>
      <c r="G642" s="14" t="s">
        <v>18</v>
      </c>
      <c r="H642" s="12" t="s">
        <v>740</v>
      </c>
      <c r="I642" s="7" t="s">
        <v>734</v>
      </c>
      <c r="K642" s="14" t="s">
        <v>578</v>
      </c>
      <c r="L642" s="7" t="s">
        <v>579</v>
      </c>
      <c r="M642" s="5" t="s">
        <v>580</v>
      </c>
      <c r="N642" s="7" t="s">
        <v>585</v>
      </c>
    </row>
    <row r="643">
      <c r="A643" s="4">
        <v>45996.0</v>
      </c>
      <c r="B643" s="7" t="s">
        <v>1489</v>
      </c>
      <c r="C643" s="21">
        <f>+543512323790</f>
        <v>543512323790</v>
      </c>
      <c r="D643" s="7" t="s">
        <v>1490</v>
      </c>
      <c r="E643" s="7" t="s">
        <v>577</v>
      </c>
      <c r="F643" s="14" t="s">
        <v>21</v>
      </c>
      <c r="G643" s="14" t="s">
        <v>25</v>
      </c>
      <c r="H643" s="12" t="s">
        <v>717</v>
      </c>
      <c r="I643" s="7" t="s">
        <v>734</v>
      </c>
      <c r="K643" s="14" t="s">
        <v>578</v>
      </c>
      <c r="L643" s="7" t="s">
        <v>579</v>
      </c>
      <c r="M643" s="9" t="s">
        <v>580</v>
      </c>
      <c r="N643" s="7" t="s">
        <v>585</v>
      </c>
    </row>
    <row r="644">
      <c r="A644" s="4">
        <v>45996.0</v>
      </c>
      <c r="B644" s="7" t="s">
        <v>1491</v>
      </c>
      <c r="C644" s="21">
        <f>+541131401502</f>
        <v>541131401502</v>
      </c>
      <c r="D644" s="7" t="s">
        <v>1492</v>
      </c>
      <c r="E644" s="14" t="s">
        <v>16</v>
      </c>
      <c r="F644" s="14" t="s">
        <v>21</v>
      </c>
      <c r="G644" s="14" t="s">
        <v>25</v>
      </c>
      <c r="H644" s="12" t="s">
        <v>717</v>
      </c>
      <c r="I644" s="7" t="s">
        <v>718</v>
      </c>
      <c r="K644" s="14" t="s">
        <v>578</v>
      </c>
      <c r="L644" s="7" t="s">
        <v>584</v>
      </c>
      <c r="M644" s="5" t="s">
        <v>580</v>
      </c>
      <c r="N644" s="7" t="s">
        <v>585</v>
      </c>
    </row>
    <row r="645">
      <c r="A645" s="4">
        <v>45996.0</v>
      </c>
      <c r="B645" s="7" t="s">
        <v>1493</v>
      </c>
      <c r="C645" s="21">
        <f>+542245474865</f>
        <v>542245474865</v>
      </c>
      <c r="D645" s="7" t="s">
        <v>1494</v>
      </c>
      <c r="E645" s="7" t="s">
        <v>577</v>
      </c>
      <c r="F645" s="14" t="s">
        <v>21</v>
      </c>
      <c r="G645" s="14" t="s">
        <v>18</v>
      </c>
      <c r="H645" s="12" t="s">
        <v>717</v>
      </c>
      <c r="I645" s="7" t="s">
        <v>1495</v>
      </c>
      <c r="K645" s="14" t="s">
        <v>578</v>
      </c>
      <c r="L645" s="7" t="s">
        <v>579</v>
      </c>
      <c r="M645" s="9" t="s">
        <v>580</v>
      </c>
      <c r="N645" s="7" t="s">
        <v>585</v>
      </c>
    </row>
    <row r="646">
      <c r="A646" s="4">
        <v>45996.0</v>
      </c>
      <c r="B646" s="7" t="s">
        <v>1095</v>
      </c>
      <c r="C646" s="21">
        <f>+541162683403</f>
        <v>541162683403</v>
      </c>
      <c r="D646" s="7" t="s">
        <v>1496</v>
      </c>
      <c r="E646" s="14" t="s">
        <v>16</v>
      </c>
      <c r="F646" s="14" t="s">
        <v>21</v>
      </c>
      <c r="G646" s="14" t="s">
        <v>25</v>
      </c>
      <c r="H646" s="9" t="s">
        <v>745</v>
      </c>
      <c r="I646" s="7" t="s">
        <v>780</v>
      </c>
      <c r="K646" s="14" t="s">
        <v>578</v>
      </c>
      <c r="L646" s="7" t="s">
        <v>584</v>
      </c>
      <c r="M646" s="5" t="s">
        <v>580</v>
      </c>
      <c r="N646" s="7" t="s">
        <v>581</v>
      </c>
    </row>
    <row r="647">
      <c r="A647" s="4">
        <v>45996.0</v>
      </c>
      <c r="B647" s="7" t="s">
        <v>1497</v>
      </c>
      <c r="C647" s="21">
        <f>+5493852514558</f>
        <v>5493852514558</v>
      </c>
      <c r="D647" s="7" t="s">
        <v>1498</v>
      </c>
      <c r="E647" s="14" t="s">
        <v>16</v>
      </c>
      <c r="F647" s="14" t="s">
        <v>21</v>
      </c>
      <c r="G647" s="14" t="s">
        <v>25</v>
      </c>
      <c r="H647" s="12" t="s">
        <v>727</v>
      </c>
      <c r="I647" s="7" t="s">
        <v>1499</v>
      </c>
      <c r="K647" s="14" t="s">
        <v>578</v>
      </c>
      <c r="L647" s="7" t="s">
        <v>579</v>
      </c>
      <c r="M647" s="9" t="s">
        <v>580</v>
      </c>
      <c r="N647" s="7" t="s">
        <v>585</v>
      </c>
    </row>
    <row r="648">
      <c r="A648" s="4">
        <v>45996.0</v>
      </c>
      <c r="B648" s="7" t="s">
        <v>1500</v>
      </c>
      <c r="C648" s="21">
        <f>+541126782875</f>
        <v>541126782875</v>
      </c>
      <c r="D648" s="7" t="s">
        <v>1501</v>
      </c>
      <c r="E648" s="7" t="s">
        <v>577</v>
      </c>
      <c r="F648" s="14" t="s">
        <v>21</v>
      </c>
      <c r="G648" s="14" t="s">
        <v>25</v>
      </c>
      <c r="H648" s="12" t="s">
        <v>717</v>
      </c>
      <c r="I648" s="7" t="s">
        <v>831</v>
      </c>
      <c r="K648" s="14" t="s">
        <v>578</v>
      </c>
      <c r="L648" s="7" t="s">
        <v>584</v>
      </c>
      <c r="M648" s="5" t="s">
        <v>580</v>
      </c>
      <c r="N648" s="7" t="s">
        <v>585</v>
      </c>
    </row>
    <row r="649">
      <c r="A649" s="4">
        <v>45996.0</v>
      </c>
      <c r="B649" s="7" t="s">
        <v>1502</v>
      </c>
      <c r="C649" s="21">
        <f>+543462553174</f>
        <v>543462553174</v>
      </c>
      <c r="D649" s="7" t="s">
        <v>1503</v>
      </c>
      <c r="E649" s="14" t="s">
        <v>16</v>
      </c>
      <c r="F649" s="14" t="s">
        <v>21</v>
      </c>
      <c r="G649" s="14" t="s">
        <v>18</v>
      </c>
      <c r="H649" s="12" t="s">
        <v>727</v>
      </c>
      <c r="I649" s="7" t="s">
        <v>1177</v>
      </c>
      <c r="K649" s="14" t="s">
        <v>578</v>
      </c>
      <c r="L649" s="7" t="s">
        <v>579</v>
      </c>
      <c r="M649" s="9" t="s">
        <v>580</v>
      </c>
      <c r="N649" s="7" t="s">
        <v>585</v>
      </c>
    </row>
    <row r="650">
      <c r="A650" s="4">
        <v>45996.0</v>
      </c>
      <c r="B650" s="7" t="s">
        <v>1478</v>
      </c>
      <c r="C650" s="23">
        <v>3.814123477E9</v>
      </c>
      <c r="D650" s="7" t="s">
        <v>1479</v>
      </c>
      <c r="E650" s="14" t="s">
        <v>24</v>
      </c>
      <c r="F650" s="14" t="s">
        <v>21</v>
      </c>
      <c r="G650" s="14" t="s">
        <v>18</v>
      </c>
      <c r="H650" s="12" t="s">
        <v>717</v>
      </c>
      <c r="I650" s="7" t="s">
        <v>718</v>
      </c>
      <c r="K650" s="14" t="s">
        <v>578</v>
      </c>
      <c r="L650" s="7" t="s">
        <v>579</v>
      </c>
      <c r="M650" s="5" t="s">
        <v>580</v>
      </c>
      <c r="N650" s="7" t="s">
        <v>581</v>
      </c>
    </row>
    <row r="651">
      <c r="A651" s="4">
        <v>45997.0</v>
      </c>
      <c r="B651" s="7" t="s">
        <v>1504</v>
      </c>
      <c r="C651" s="21">
        <f>+543858687608</f>
        <v>543858687608</v>
      </c>
      <c r="D651" s="7" t="s">
        <v>1505</v>
      </c>
      <c r="E651" s="7" t="s">
        <v>577</v>
      </c>
      <c r="F651" s="14" t="s">
        <v>21</v>
      </c>
      <c r="G651" s="14" t="s">
        <v>25</v>
      </c>
      <c r="H651" s="12" t="s">
        <v>717</v>
      </c>
      <c r="I651" s="7" t="s">
        <v>1506</v>
      </c>
      <c r="K651" s="14" t="s">
        <v>578</v>
      </c>
      <c r="L651" s="7" t="s">
        <v>579</v>
      </c>
      <c r="M651" s="7" t="s">
        <v>580</v>
      </c>
      <c r="N651" s="7" t="s">
        <v>581</v>
      </c>
    </row>
    <row r="652">
      <c r="A652" s="4">
        <v>45997.0</v>
      </c>
      <c r="B652" s="7" t="s">
        <v>1507</v>
      </c>
      <c r="C652" s="21">
        <f>+543644587170</f>
        <v>543644587170</v>
      </c>
      <c r="D652" s="7" t="s">
        <v>1508</v>
      </c>
      <c r="E652" s="14" t="s">
        <v>24</v>
      </c>
      <c r="F652" s="14" t="s">
        <v>21</v>
      </c>
      <c r="G652" s="14" t="s">
        <v>25</v>
      </c>
      <c r="H652" s="12" t="s">
        <v>717</v>
      </c>
      <c r="I652" s="7" t="s">
        <v>885</v>
      </c>
      <c r="K652" s="14" t="s">
        <v>578</v>
      </c>
      <c r="L652" s="7" t="s">
        <v>579</v>
      </c>
      <c r="M652" s="7" t="s">
        <v>580</v>
      </c>
      <c r="N652" s="7" t="s">
        <v>581</v>
      </c>
    </row>
    <row r="653">
      <c r="A653" s="4">
        <v>45997.0</v>
      </c>
      <c r="B653" s="7" t="s">
        <v>1509</v>
      </c>
      <c r="C653" s="21">
        <f>+543571556395</f>
        <v>543571556395</v>
      </c>
      <c r="D653" s="7" t="s">
        <v>1510</v>
      </c>
      <c r="E653" s="14" t="s">
        <v>16</v>
      </c>
      <c r="F653" s="14" t="s">
        <v>21</v>
      </c>
      <c r="G653" s="14" t="s">
        <v>25</v>
      </c>
      <c r="H653" s="12" t="s">
        <v>740</v>
      </c>
      <c r="I653" s="7" t="s">
        <v>885</v>
      </c>
      <c r="K653" s="14" t="s">
        <v>578</v>
      </c>
      <c r="L653" s="7" t="s">
        <v>579</v>
      </c>
      <c r="M653" s="7" t="s">
        <v>580</v>
      </c>
      <c r="N653" s="7" t="s">
        <v>581</v>
      </c>
    </row>
    <row r="654">
      <c r="A654" s="4">
        <v>45997.0</v>
      </c>
      <c r="B654" s="7" t="s">
        <v>1511</v>
      </c>
      <c r="C654" s="21">
        <f>+543585075295</f>
        <v>543585075295</v>
      </c>
      <c r="D654" s="7" t="s">
        <v>1512</v>
      </c>
      <c r="E654" s="14" t="s">
        <v>16</v>
      </c>
      <c r="F654" s="14" t="s">
        <v>21</v>
      </c>
      <c r="G654" s="14" t="s">
        <v>25</v>
      </c>
      <c r="H654" s="9" t="s">
        <v>745</v>
      </c>
      <c r="I654" s="7" t="s">
        <v>879</v>
      </c>
      <c r="K654" s="14" t="s">
        <v>578</v>
      </c>
      <c r="L654" s="7" t="s">
        <v>579</v>
      </c>
      <c r="M654" s="7" t="s">
        <v>580</v>
      </c>
      <c r="N654" s="7" t="s">
        <v>585</v>
      </c>
    </row>
    <row r="655">
      <c r="A655" s="4">
        <v>45997.0</v>
      </c>
      <c r="B655" s="7" t="s">
        <v>1513</v>
      </c>
      <c r="C655" s="21">
        <f>+542966542357</f>
        <v>542966542357</v>
      </c>
      <c r="D655" s="7" t="s">
        <v>1514</v>
      </c>
      <c r="E655" s="7" t="s">
        <v>577</v>
      </c>
      <c r="F655" s="14" t="s">
        <v>21</v>
      </c>
      <c r="G655" s="14" t="s">
        <v>18</v>
      </c>
      <c r="H655" s="12" t="s">
        <v>740</v>
      </c>
      <c r="I655" s="7" t="s">
        <v>731</v>
      </c>
      <c r="K655" s="14" t="s">
        <v>578</v>
      </c>
      <c r="L655" s="7" t="s">
        <v>584</v>
      </c>
      <c r="M655" s="7" t="s">
        <v>580</v>
      </c>
      <c r="N655" s="7" t="s">
        <v>585</v>
      </c>
    </row>
    <row r="656">
      <c r="A656" s="4">
        <v>45997.0</v>
      </c>
      <c r="B656" s="7" t="s">
        <v>1515</v>
      </c>
      <c r="C656" s="21">
        <f>+5492914371191</f>
        <v>5492914371191</v>
      </c>
      <c r="D656" s="7" t="s">
        <v>1516</v>
      </c>
      <c r="E656" s="14" t="s">
        <v>24</v>
      </c>
      <c r="F656" s="14" t="s">
        <v>21</v>
      </c>
      <c r="G656" s="14" t="s">
        <v>25</v>
      </c>
      <c r="H656" s="12" t="s">
        <v>717</v>
      </c>
      <c r="I656" s="7" t="s">
        <v>1517</v>
      </c>
      <c r="K656" s="14" t="s">
        <v>578</v>
      </c>
      <c r="L656" s="7" t="s">
        <v>579</v>
      </c>
      <c r="M656" s="7" t="s">
        <v>1055</v>
      </c>
      <c r="N656" s="7" t="s">
        <v>585</v>
      </c>
    </row>
    <row r="657">
      <c r="A657" s="4">
        <v>45997.0</v>
      </c>
      <c r="B657" s="7" t="s">
        <v>1518</v>
      </c>
      <c r="C657" s="21">
        <f>+543471581549</f>
        <v>543471581549</v>
      </c>
      <c r="D657" s="7" t="s">
        <v>1519</v>
      </c>
      <c r="E657" s="14" t="s">
        <v>16</v>
      </c>
      <c r="F657" s="14" t="s">
        <v>21</v>
      </c>
      <c r="G657" s="14" t="s">
        <v>25</v>
      </c>
      <c r="H657" s="12" t="s">
        <v>717</v>
      </c>
      <c r="I657" s="7" t="s">
        <v>801</v>
      </c>
      <c r="K657" s="14" t="s">
        <v>578</v>
      </c>
      <c r="L657" s="7" t="s">
        <v>579</v>
      </c>
      <c r="M657" s="7" t="s">
        <v>580</v>
      </c>
      <c r="N657" s="7" t="s">
        <v>585</v>
      </c>
    </row>
    <row r="658">
      <c r="A658" s="4">
        <v>45998.0</v>
      </c>
      <c r="B658" s="7" t="s">
        <v>1520</v>
      </c>
      <c r="C658" s="21">
        <f>+543491589201</f>
        <v>543491589201</v>
      </c>
      <c r="D658" s="7" t="s">
        <v>1521</v>
      </c>
      <c r="E658" s="7" t="s">
        <v>577</v>
      </c>
      <c r="F658" s="14" t="s">
        <v>21</v>
      </c>
      <c r="G658" s="14" t="s">
        <v>25</v>
      </c>
      <c r="H658" s="9" t="s">
        <v>727</v>
      </c>
      <c r="I658" s="7" t="s">
        <v>855</v>
      </c>
      <c r="K658" s="14" t="s">
        <v>578</v>
      </c>
      <c r="L658" s="7" t="s">
        <v>579</v>
      </c>
      <c r="M658" s="7" t="s">
        <v>610</v>
      </c>
      <c r="N658" s="7" t="s">
        <v>581</v>
      </c>
    </row>
    <row r="659">
      <c r="A659" s="4">
        <v>45998.0</v>
      </c>
      <c r="B659" s="7" t="s">
        <v>1522</v>
      </c>
      <c r="C659" s="21">
        <f>+54342543971</f>
        <v>54342543971</v>
      </c>
      <c r="D659" s="7" t="s">
        <v>1523</v>
      </c>
      <c r="E659" s="14" t="s">
        <v>24</v>
      </c>
      <c r="F659" s="14" t="s">
        <v>21</v>
      </c>
      <c r="G659" s="14" t="s">
        <v>25</v>
      </c>
      <c r="H659" s="12" t="s">
        <v>740</v>
      </c>
      <c r="I659" s="7" t="s">
        <v>1524</v>
      </c>
      <c r="K659" s="14" t="s">
        <v>578</v>
      </c>
      <c r="L659" s="7" t="s">
        <v>579</v>
      </c>
      <c r="M659" s="7" t="s">
        <v>610</v>
      </c>
      <c r="N659" s="7" t="s">
        <v>585</v>
      </c>
    </row>
    <row r="660">
      <c r="A660" s="4">
        <v>45998.0</v>
      </c>
      <c r="B660" s="7" t="s">
        <v>1525</v>
      </c>
      <c r="C660" s="21">
        <f>+541168923820</f>
        <v>541168923820</v>
      </c>
      <c r="D660" s="7" t="s">
        <v>1526</v>
      </c>
      <c r="E660" s="14" t="s">
        <v>24</v>
      </c>
      <c r="F660" s="14" t="s">
        <v>21</v>
      </c>
      <c r="G660" s="14" t="s">
        <v>25</v>
      </c>
      <c r="H660" s="12" t="s">
        <v>717</v>
      </c>
      <c r="I660" s="7" t="s">
        <v>1527</v>
      </c>
      <c r="K660" s="14" t="s">
        <v>578</v>
      </c>
      <c r="L660" s="7" t="s">
        <v>584</v>
      </c>
      <c r="M660" s="7" t="s">
        <v>624</v>
      </c>
      <c r="N660" s="7" t="s">
        <v>585</v>
      </c>
    </row>
    <row r="661">
      <c r="A661" s="4">
        <v>45998.0</v>
      </c>
      <c r="B661" s="7" t="s">
        <v>109</v>
      </c>
      <c r="C661" s="21">
        <f>+5491133517825</f>
        <v>5491133517825</v>
      </c>
      <c r="D661" s="7" t="s">
        <v>1528</v>
      </c>
      <c r="E661" s="14" t="s">
        <v>24</v>
      </c>
      <c r="F661" s="12" t="s">
        <v>17</v>
      </c>
      <c r="G661" s="14" t="s">
        <v>25</v>
      </c>
      <c r="H661" s="12" t="s">
        <v>717</v>
      </c>
      <c r="I661" s="7" t="s">
        <v>1529</v>
      </c>
      <c r="K661" s="14" t="s">
        <v>578</v>
      </c>
      <c r="L661" s="7" t="s">
        <v>584</v>
      </c>
      <c r="M661" s="7" t="s">
        <v>624</v>
      </c>
      <c r="N661" s="7" t="s">
        <v>585</v>
      </c>
    </row>
    <row r="662">
      <c r="A662" s="4">
        <v>45998.0</v>
      </c>
      <c r="B662" s="7" t="s">
        <v>1530</v>
      </c>
      <c r="C662" s="21">
        <f>+543885201725</f>
        <v>543885201725</v>
      </c>
      <c r="D662" s="7" t="s">
        <v>1531</v>
      </c>
      <c r="E662" s="14" t="s">
        <v>16</v>
      </c>
      <c r="F662" s="14" t="s">
        <v>21</v>
      </c>
      <c r="G662" s="14" t="s">
        <v>25</v>
      </c>
      <c r="H662" s="9" t="s">
        <v>745</v>
      </c>
      <c r="I662" s="7" t="s">
        <v>1532</v>
      </c>
      <c r="K662" s="14" t="s">
        <v>578</v>
      </c>
      <c r="L662" s="7" t="s">
        <v>579</v>
      </c>
      <c r="M662" s="7" t="s">
        <v>610</v>
      </c>
      <c r="N662" s="7" t="s">
        <v>585</v>
      </c>
    </row>
    <row r="663">
      <c r="A663" s="4">
        <v>45998.0</v>
      </c>
      <c r="B663" s="7" t="s">
        <v>1533</v>
      </c>
      <c r="C663" s="21">
        <f>+541123388741</f>
        <v>541123388741</v>
      </c>
      <c r="D663" s="7" t="s">
        <v>1534</v>
      </c>
      <c r="E663" s="14" t="s">
        <v>24</v>
      </c>
      <c r="F663" s="14" t="s">
        <v>32</v>
      </c>
      <c r="G663" s="14" t="s">
        <v>25</v>
      </c>
      <c r="H663" s="12" t="s">
        <v>740</v>
      </c>
      <c r="I663" s="7" t="s">
        <v>972</v>
      </c>
      <c r="K663" s="14" t="s">
        <v>578</v>
      </c>
      <c r="L663" s="7" t="s">
        <v>584</v>
      </c>
      <c r="M663" s="7" t="s">
        <v>580</v>
      </c>
      <c r="N663" s="7" t="s">
        <v>581</v>
      </c>
    </row>
    <row r="664">
      <c r="A664" s="4">
        <v>45998.0</v>
      </c>
      <c r="B664" s="7" t="s">
        <v>1535</v>
      </c>
      <c r="C664" s="21">
        <f>+541131346877</f>
        <v>541131346877</v>
      </c>
      <c r="D664" s="7" t="s">
        <v>1536</v>
      </c>
      <c r="E664" s="14" t="s">
        <v>24</v>
      </c>
      <c r="F664" s="14" t="s">
        <v>21</v>
      </c>
      <c r="G664" s="9" t="s">
        <v>1045</v>
      </c>
      <c r="H664" s="12" t="s">
        <v>717</v>
      </c>
      <c r="I664" s="7" t="s">
        <v>1537</v>
      </c>
      <c r="K664" s="14" t="s">
        <v>578</v>
      </c>
      <c r="L664" s="7" t="s">
        <v>584</v>
      </c>
      <c r="M664" s="7" t="s">
        <v>580</v>
      </c>
      <c r="N664" s="7" t="s">
        <v>585</v>
      </c>
    </row>
    <row r="665">
      <c r="A665" s="4">
        <v>45998.0</v>
      </c>
      <c r="B665" s="7" t="s">
        <v>1538</v>
      </c>
      <c r="C665" s="21">
        <f>+542245407146</f>
        <v>542245407146</v>
      </c>
      <c r="D665" s="7" t="s">
        <v>1539</v>
      </c>
      <c r="E665" s="7" t="s">
        <v>577</v>
      </c>
      <c r="F665" s="14" t="s">
        <v>21</v>
      </c>
      <c r="G665" s="14" t="s">
        <v>25</v>
      </c>
      <c r="H665" s="12" t="s">
        <v>717</v>
      </c>
      <c r="I665" s="7" t="s">
        <v>1540</v>
      </c>
      <c r="K665" s="14" t="s">
        <v>578</v>
      </c>
      <c r="L665" s="7" t="s">
        <v>579</v>
      </c>
      <c r="M665" s="7" t="s">
        <v>580</v>
      </c>
      <c r="N665" s="7" t="s">
        <v>585</v>
      </c>
    </row>
    <row r="666">
      <c r="A666" s="4">
        <v>45998.0</v>
      </c>
      <c r="B666" s="7" t="s">
        <v>1541</v>
      </c>
      <c r="C666" s="21">
        <f>+543868412580</f>
        <v>543868412580</v>
      </c>
      <c r="D666" s="7" t="s">
        <v>1542</v>
      </c>
      <c r="E666" s="7" t="s">
        <v>577</v>
      </c>
      <c r="F666" s="14" t="s">
        <v>21</v>
      </c>
      <c r="G666" s="14" t="s">
        <v>25</v>
      </c>
      <c r="H666" s="9" t="s">
        <v>745</v>
      </c>
      <c r="I666" s="7" t="s">
        <v>1543</v>
      </c>
      <c r="K666" s="14" t="s">
        <v>578</v>
      </c>
      <c r="L666" s="7" t="s">
        <v>579</v>
      </c>
      <c r="M666" s="7" t="s">
        <v>580</v>
      </c>
      <c r="N666" s="7" t="s">
        <v>581</v>
      </c>
    </row>
    <row r="667">
      <c r="A667" s="4">
        <v>45999.0</v>
      </c>
      <c r="B667" s="7" t="s">
        <v>1544</v>
      </c>
      <c r="C667" s="22">
        <f>+541131683681</f>
        <v>541131683681</v>
      </c>
      <c r="D667" s="7" t="s">
        <v>1545</v>
      </c>
      <c r="E667" s="14" t="s">
        <v>24</v>
      </c>
      <c r="F667" s="14" t="s">
        <v>21</v>
      </c>
      <c r="G667" s="14" t="s">
        <v>25</v>
      </c>
      <c r="H667" s="12" t="s">
        <v>717</v>
      </c>
      <c r="I667" s="7" t="s">
        <v>1546</v>
      </c>
      <c r="K667" s="14" t="s">
        <v>578</v>
      </c>
      <c r="L667" s="7" t="s">
        <v>584</v>
      </c>
      <c r="M667" s="7" t="s">
        <v>624</v>
      </c>
      <c r="N667" s="7" t="s">
        <v>581</v>
      </c>
    </row>
    <row r="668">
      <c r="A668" s="4">
        <v>45999.0</v>
      </c>
      <c r="B668" s="7" t="s">
        <v>1547</v>
      </c>
      <c r="C668" s="22">
        <f>+543515740123</f>
        <v>543515740123</v>
      </c>
      <c r="D668" s="7" t="s">
        <v>1548</v>
      </c>
      <c r="E668" s="7" t="s">
        <v>577</v>
      </c>
      <c r="F668" s="14" t="s">
        <v>21</v>
      </c>
      <c r="G668" s="14" t="s">
        <v>18</v>
      </c>
      <c r="H668" s="9" t="s">
        <v>745</v>
      </c>
      <c r="I668" s="7" t="s">
        <v>818</v>
      </c>
      <c r="K668" s="14" t="s">
        <v>578</v>
      </c>
      <c r="L668" s="7" t="s">
        <v>579</v>
      </c>
      <c r="M668" s="7" t="s">
        <v>580</v>
      </c>
      <c r="N668" s="7" t="s">
        <v>581</v>
      </c>
    </row>
    <row r="669">
      <c r="A669" s="4">
        <v>45999.0</v>
      </c>
      <c r="B669" s="7" t="s">
        <v>1549</v>
      </c>
      <c r="C669" s="22">
        <f>+543804260177</f>
        <v>543804260177</v>
      </c>
      <c r="D669" s="7" t="s">
        <v>1550</v>
      </c>
      <c r="E669" s="14" t="s">
        <v>16</v>
      </c>
      <c r="F669" s="14" t="s">
        <v>21</v>
      </c>
      <c r="G669" s="14" t="s">
        <v>25</v>
      </c>
      <c r="H669" s="12" t="s">
        <v>717</v>
      </c>
      <c r="I669" s="7" t="s">
        <v>1551</v>
      </c>
      <c r="K669" s="14" t="s">
        <v>578</v>
      </c>
      <c r="L669" s="7" t="s">
        <v>579</v>
      </c>
      <c r="M669" s="7" t="s">
        <v>580</v>
      </c>
      <c r="N669" s="7" t="s">
        <v>581</v>
      </c>
    </row>
    <row r="670">
      <c r="A670" s="4">
        <v>45999.0</v>
      </c>
      <c r="B670" s="7" t="s">
        <v>1552</v>
      </c>
      <c r="C670" s="22">
        <f>+543804503271</f>
        <v>543804503271</v>
      </c>
      <c r="D670" s="7" t="s">
        <v>1553</v>
      </c>
      <c r="E670" s="7" t="s">
        <v>577</v>
      </c>
      <c r="F670" s="14" t="s">
        <v>21</v>
      </c>
      <c r="G670" s="14" t="s">
        <v>25</v>
      </c>
      <c r="H670" s="12" t="s">
        <v>717</v>
      </c>
      <c r="I670" s="7" t="s">
        <v>1289</v>
      </c>
      <c r="K670" s="14" t="s">
        <v>578</v>
      </c>
      <c r="L670" s="7" t="s">
        <v>579</v>
      </c>
      <c r="M670" s="7" t="s">
        <v>580</v>
      </c>
      <c r="N670" s="7" t="s">
        <v>585</v>
      </c>
    </row>
    <row r="671">
      <c r="A671" s="4">
        <v>45999.0</v>
      </c>
      <c r="B671" s="7" t="s">
        <v>1554</v>
      </c>
      <c r="C671" s="22">
        <f>+542975011647</f>
        <v>542975011647</v>
      </c>
      <c r="D671" s="7" t="s">
        <v>1555</v>
      </c>
      <c r="E671" s="14" t="s">
        <v>16</v>
      </c>
      <c r="F671" s="14" t="s">
        <v>21</v>
      </c>
      <c r="G671" s="14" t="s">
        <v>25</v>
      </c>
      <c r="H671" s="12" t="s">
        <v>740</v>
      </c>
      <c r="I671" s="7" t="s">
        <v>818</v>
      </c>
      <c r="K671" s="14" t="s">
        <v>578</v>
      </c>
      <c r="L671" s="7" t="s">
        <v>579</v>
      </c>
      <c r="M671" s="7" t="s">
        <v>580</v>
      </c>
      <c r="N671" s="7" t="s">
        <v>585</v>
      </c>
    </row>
    <row r="672">
      <c r="A672" s="4">
        <v>45999.0</v>
      </c>
      <c r="B672" s="7" t="s">
        <v>1556</v>
      </c>
      <c r="C672" s="22">
        <f>+5491161167503</f>
        <v>5491161167503</v>
      </c>
      <c r="D672" s="7" t="s">
        <v>1557</v>
      </c>
      <c r="E672" s="14" t="s">
        <v>24</v>
      </c>
      <c r="F672" s="12" t="s">
        <v>17</v>
      </c>
      <c r="G672" s="14" t="s">
        <v>25</v>
      </c>
      <c r="H672" s="12" t="s">
        <v>717</v>
      </c>
      <c r="I672" s="7" t="s">
        <v>947</v>
      </c>
      <c r="K672" s="14" t="s">
        <v>578</v>
      </c>
      <c r="L672" s="7" t="s">
        <v>584</v>
      </c>
      <c r="M672" s="7" t="s">
        <v>580</v>
      </c>
      <c r="N672" s="7" t="s">
        <v>585</v>
      </c>
    </row>
    <row r="673">
      <c r="A673" s="4">
        <v>45999.0</v>
      </c>
      <c r="B673" s="7" t="s">
        <v>1558</v>
      </c>
      <c r="C673" s="22">
        <f>+541135038131</f>
        <v>541135038131</v>
      </c>
      <c r="D673" s="7" t="s">
        <v>1559</v>
      </c>
      <c r="E673" s="14" t="s">
        <v>24</v>
      </c>
      <c r="F673" s="14" t="s">
        <v>21</v>
      </c>
      <c r="G673" s="14" t="s">
        <v>25</v>
      </c>
      <c r="H673" s="12" t="s">
        <v>717</v>
      </c>
      <c r="I673" s="7" t="s">
        <v>1560</v>
      </c>
      <c r="K673" s="14" t="s">
        <v>578</v>
      </c>
      <c r="L673" s="7" t="s">
        <v>584</v>
      </c>
      <c r="M673" s="7" t="s">
        <v>580</v>
      </c>
      <c r="N673" s="7" t="s">
        <v>585</v>
      </c>
    </row>
    <row r="674">
      <c r="A674" s="4">
        <v>45999.0</v>
      </c>
      <c r="B674" s="7" t="s">
        <v>1561</v>
      </c>
      <c r="C674" s="22">
        <f>+542474409019</f>
        <v>542474409019</v>
      </c>
      <c r="D674" s="7" t="s">
        <v>1562</v>
      </c>
      <c r="E674" s="14" t="s">
        <v>24</v>
      </c>
      <c r="F674" s="14" t="s">
        <v>32</v>
      </c>
      <c r="G674" s="14" t="s">
        <v>25</v>
      </c>
      <c r="H674" s="9" t="s">
        <v>745</v>
      </c>
      <c r="I674" s="7" t="s">
        <v>1563</v>
      </c>
      <c r="K674" s="14" t="s">
        <v>578</v>
      </c>
      <c r="L674" s="7" t="s">
        <v>579</v>
      </c>
      <c r="M674" s="7" t="s">
        <v>580</v>
      </c>
      <c r="N674" s="7" t="s">
        <v>585</v>
      </c>
    </row>
    <row r="675">
      <c r="A675" s="4">
        <v>45999.0</v>
      </c>
      <c r="B675" s="7" t="s">
        <v>1564</v>
      </c>
      <c r="C675" s="22">
        <f>+541131187775</f>
        <v>541131187775</v>
      </c>
      <c r="D675" s="7" t="s">
        <v>1565</v>
      </c>
      <c r="E675" s="7" t="s">
        <v>577</v>
      </c>
      <c r="F675" s="14" t="s">
        <v>21</v>
      </c>
      <c r="G675" s="14" t="s">
        <v>25</v>
      </c>
      <c r="H675" s="12" t="s">
        <v>717</v>
      </c>
      <c r="I675" s="7" t="s">
        <v>1566</v>
      </c>
      <c r="K675" s="14" t="s">
        <v>578</v>
      </c>
      <c r="L675" s="7" t="s">
        <v>584</v>
      </c>
      <c r="M675" s="7" t="s">
        <v>624</v>
      </c>
      <c r="N675" s="7" t="s">
        <v>581</v>
      </c>
    </row>
    <row r="676">
      <c r="A676" s="4">
        <v>45999.0</v>
      </c>
      <c r="B676" s="7" t="s">
        <v>1567</v>
      </c>
      <c r="C676" s="22">
        <f>+541126375785</f>
        <v>541126375785</v>
      </c>
      <c r="D676" s="7" t="s">
        <v>246</v>
      </c>
      <c r="E676" s="14" t="s">
        <v>24</v>
      </c>
      <c r="F676" s="14" t="s">
        <v>32</v>
      </c>
      <c r="G676" s="14" t="s">
        <v>25</v>
      </c>
      <c r="H676" s="12" t="s">
        <v>740</v>
      </c>
      <c r="I676" s="7" t="s">
        <v>1568</v>
      </c>
      <c r="K676" s="14" t="s">
        <v>578</v>
      </c>
      <c r="L676" s="7" t="s">
        <v>584</v>
      </c>
      <c r="M676" s="7" t="s">
        <v>624</v>
      </c>
      <c r="N676" s="7" t="s">
        <v>585</v>
      </c>
    </row>
    <row r="677">
      <c r="A677" s="4">
        <v>45999.0</v>
      </c>
      <c r="B677" s="7" t="s">
        <v>1569</v>
      </c>
      <c r="C677" s="22">
        <f>+541125117476</f>
        <v>541125117476</v>
      </c>
      <c r="D677" s="7" t="s">
        <v>1570</v>
      </c>
      <c r="E677" s="14" t="s">
        <v>24</v>
      </c>
      <c r="F677" s="12" t="s">
        <v>17</v>
      </c>
      <c r="G677" s="14" t="s">
        <v>25</v>
      </c>
      <c r="H677" s="9" t="s">
        <v>727</v>
      </c>
      <c r="I677" s="7" t="s">
        <v>1571</v>
      </c>
      <c r="K677" s="14" t="s">
        <v>578</v>
      </c>
      <c r="L677" s="7" t="s">
        <v>584</v>
      </c>
      <c r="M677" s="7" t="s">
        <v>624</v>
      </c>
      <c r="N677" s="7" t="s">
        <v>585</v>
      </c>
    </row>
    <row r="678">
      <c r="A678" s="4">
        <v>46000.0</v>
      </c>
      <c r="B678" s="7" t="s">
        <v>1572</v>
      </c>
      <c r="C678" s="21">
        <f>+5492995273910</f>
        <v>5492995273910</v>
      </c>
      <c r="D678" s="7" t="s">
        <v>1573</v>
      </c>
      <c r="E678" s="7" t="s">
        <v>577</v>
      </c>
      <c r="F678" s="14" t="s">
        <v>21</v>
      </c>
      <c r="G678" s="14" t="s">
        <v>25</v>
      </c>
      <c r="H678" s="12" t="s">
        <v>717</v>
      </c>
      <c r="I678" s="7" t="s">
        <v>1574</v>
      </c>
      <c r="K678" s="14" t="s">
        <v>578</v>
      </c>
      <c r="L678" s="7" t="s">
        <v>579</v>
      </c>
      <c r="M678" s="7" t="s">
        <v>1055</v>
      </c>
      <c r="N678" s="7" t="s">
        <v>585</v>
      </c>
    </row>
    <row r="679">
      <c r="A679" s="4">
        <v>46000.0</v>
      </c>
      <c r="B679" s="7" t="s">
        <v>1575</v>
      </c>
      <c r="C679" s="21">
        <f>+541153810820</f>
        <v>541153810820</v>
      </c>
      <c r="D679" s="7" t="s">
        <v>1576</v>
      </c>
      <c r="E679" s="14" t="s">
        <v>16</v>
      </c>
      <c r="F679" s="14" t="s">
        <v>21</v>
      </c>
      <c r="G679" s="14" t="s">
        <v>18</v>
      </c>
      <c r="H679" s="9" t="s">
        <v>745</v>
      </c>
      <c r="I679" s="7" t="s">
        <v>1577</v>
      </c>
      <c r="K679" s="14" t="s">
        <v>578</v>
      </c>
      <c r="L679" s="7" t="s">
        <v>584</v>
      </c>
      <c r="M679" s="7" t="s">
        <v>624</v>
      </c>
      <c r="N679" s="7" t="s">
        <v>581</v>
      </c>
    </row>
    <row r="680">
      <c r="A680" s="4">
        <v>46000.0</v>
      </c>
      <c r="B680" s="7" t="s">
        <v>1578</v>
      </c>
      <c r="C680" s="21">
        <f>+543876153842</f>
        <v>543876153842</v>
      </c>
      <c r="D680" s="7" t="s">
        <v>1579</v>
      </c>
      <c r="E680" s="14" t="s">
        <v>24</v>
      </c>
      <c r="F680" s="14" t="s">
        <v>21</v>
      </c>
      <c r="G680" s="14" t="s">
        <v>25</v>
      </c>
      <c r="H680" s="12" t="s">
        <v>717</v>
      </c>
      <c r="I680" s="7" t="s">
        <v>1580</v>
      </c>
      <c r="K680" s="14" t="s">
        <v>578</v>
      </c>
      <c r="L680" s="7" t="s">
        <v>579</v>
      </c>
      <c r="M680" s="7" t="s">
        <v>1055</v>
      </c>
      <c r="N680" s="7" t="s">
        <v>581</v>
      </c>
    </row>
    <row r="681">
      <c r="A681" s="4">
        <v>46000.0</v>
      </c>
      <c r="B681" s="7" t="s">
        <v>1581</v>
      </c>
      <c r="C681" s="21">
        <f>+541165797149</f>
        <v>541165797149</v>
      </c>
      <c r="D681" s="7" t="s">
        <v>1582</v>
      </c>
      <c r="E681" s="14" t="s">
        <v>24</v>
      </c>
      <c r="F681" s="14" t="s">
        <v>21</v>
      </c>
      <c r="G681" s="14" t="s">
        <v>18</v>
      </c>
      <c r="H681" s="12" t="s">
        <v>740</v>
      </c>
      <c r="I681" s="7" t="s">
        <v>1583</v>
      </c>
      <c r="K681" s="14" t="s">
        <v>578</v>
      </c>
      <c r="L681" s="7" t="s">
        <v>584</v>
      </c>
      <c r="M681" s="7" t="s">
        <v>624</v>
      </c>
      <c r="N681" s="7" t="s">
        <v>585</v>
      </c>
    </row>
    <row r="682">
      <c r="A682" s="4">
        <v>46000.0</v>
      </c>
      <c r="B682" s="7" t="s">
        <v>1584</v>
      </c>
      <c r="C682" s="21">
        <f>+5493424859470</f>
        <v>5493424859470</v>
      </c>
      <c r="D682" s="7" t="s">
        <v>1585</v>
      </c>
      <c r="E682" s="14" t="s">
        <v>16</v>
      </c>
      <c r="F682" s="14" t="s">
        <v>21</v>
      </c>
      <c r="G682" s="14" t="s">
        <v>25</v>
      </c>
      <c r="H682" s="12" t="s">
        <v>717</v>
      </c>
      <c r="I682" s="7" t="s">
        <v>770</v>
      </c>
      <c r="K682" s="14" t="s">
        <v>578</v>
      </c>
      <c r="L682" s="7" t="s">
        <v>579</v>
      </c>
      <c r="M682" s="7" t="s">
        <v>610</v>
      </c>
      <c r="N682" s="7" t="s">
        <v>585</v>
      </c>
    </row>
    <row r="683">
      <c r="A683" s="4">
        <v>46000.0</v>
      </c>
      <c r="B683" s="7" t="s">
        <v>1586</v>
      </c>
      <c r="C683" s="21">
        <f>+543515132106</f>
        <v>543515132106</v>
      </c>
      <c r="D683" s="7" t="s">
        <v>1587</v>
      </c>
      <c r="E683" s="14" t="s">
        <v>24</v>
      </c>
      <c r="F683" s="14" t="s">
        <v>21</v>
      </c>
      <c r="G683" s="14" t="s">
        <v>25</v>
      </c>
      <c r="H683" s="12" t="s">
        <v>717</v>
      </c>
      <c r="I683" s="7" t="s">
        <v>1588</v>
      </c>
      <c r="K683" s="14" t="s">
        <v>578</v>
      </c>
      <c r="L683" s="7" t="s">
        <v>579</v>
      </c>
      <c r="M683" s="7" t="s">
        <v>610</v>
      </c>
      <c r="N683" s="7" t="s">
        <v>585</v>
      </c>
    </row>
    <row r="684">
      <c r="A684" s="4">
        <v>46000.0</v>
      </c>
      <c r="B684" s="7" t="s">
        <v>1589</v>
      </c>
      <c r="C684" s="21">
        <f>+542323550833</f>
        <v>542323550833</v>
      </c>
      <c r="D684" s="7" t="s">
        <v>1590</v>
      </c>
      <c r="E684" s="7" t="s">
        <v>577</v>
      </c>
      <c r="F684" s="14" t="s">
        <v>21</v>
      </c>
      <c r="G684" s="14" t="s">
        <v>25</v>
      </c>
      <c r="H684" s="9" t="s">
        <v>727</v>
      </c>
      <c r="I684" s="7" t="s">
        <v>972</v>
      </c>
      <c r="K684" s="14" t="s">
        <v>578</v>
      </c>
      <c r="L684" s="7" t="s">
        <v>584</v>
      </c>
      <c r="M684" s="7" t="s">
        <v>624</v>
      </c>
      <c r="N684" s="7" t="s">
        <v>581</v>
      </c>
    </row>
    <row r="685">
      <c r="A685" s="4">
        <v>46000.0</v>
      </c>
      <c r="B685" s="7" t="s">
        <v>1591</v>
      </c>
      <c r="C685" s="21">
        <f>+5493425197199</f>
        <v>5493425197199</v>
      </c>
      <c r="D685" s="7" t="s">
        <v>1592</v>
      </c>
      <c r="E685" s="14" t="s">
        <v>24</v>
      </c>
      <c r="F685" s="14" t="s">
        <v>21</v>
      </c>
      <c r="G685" s="14" t="s">
        <v>25</v>
      </c>
      <c r="H685" s="12" t="s">
        <v>717</v>
      </c>
      <c r="I685" s="7" t="s">
        <v>1593</v>
      </c>
      <c r="K685" s="14" t="s">
        <v>578</v>
      </c>
      <c r="L685" s="7" t="s">
        <v>579</v>
      </c>
      <c r="M685" s="7" t="s">
        <v>610</v>
      </c>
      <c r="N685" s="7" t="s">
        <v>585</v>
      </c>
    </row>
    <row r="686">
      <c r="A686" s="4">
        <v>46001.0</v>
      </c>
      <c r="B686" s="7" t="s">
        <v>1594</v>
      </c>
      <c r="C686" s="21">
        <f>+543624842057</f>
        <v>543624842057</v>
      </c>
      <c r="D686" s="7" t="s">
        <v>1595</v>
      </c>
      <c r="E686" s="7" t="s">
        <v>577</v>
      </c>
      <c r="F686" s="14" t="s">
        <v>21</v>
      </c>
      <c r="G686" s="14" t="s">
        <v>25</v>
      </c>
      <c r="H686" s="9" t="s">
        <v>727</v>
      </c>
      <c r="I686" s="7" t="s">
        <v>1596</v>
      </c>
      <c r="K686" s="14" t="s">
        <v>578</v>
      </c>
      <c r="L686" s="7" t="s">
        <v>579</v>
      </c>
      <c r="M686" s="7" t="s">
        <v>610</v>
      </c>
      <c r="N686" s="7" t="s">
        <v>585</v>
      </c>
    </row>
    <row r="687">
      <c r="A687" s="4">
        <v>46001.0</v>
      </c>
      <c r="B687" s="7" t="s">
        <v>1597</v>
      </c>
      <c r="C687" s="21">
        <f>+541168734893</f>
        <v>541168734893</v>
      </c>
      <c r="D687" s="7" t="s">
        <v>1598</v>
      </c>
      <c r="E687" s="14" t="s">
        <v>24</v>
      </c>
      <c r="F687" s="14" t="s">
        <v>21</v>
      </c>
      <c r="G687" s="14" t="s">
        <v>18</v>
      </c>
      <c r="H687" s="12" t="s">
        <v>717</v>
      </c>
      <c r="I687" s="7" t="s">
        <v>1599</v>
      </c>
      <c r="K687" s="14" t="s">
        <v>578</v>
      </c>
      <c r="L687" s="7" t="s">
        <v>584</v>
      </c>
      <c r="M687" s="7" t="s">
        <v>624</v>
      </c>
      <c r="N687" s="7" t="s">
        <v>585</v>
      </c>
    </row>
    <row r="688">
      <c r="A688" s="4">
        <v>46001.0</v>
      </c>
      <c r="B688" s="7" t="s">
        <v>1600</v>
      </c>
      <c r="C688" s="21">
        <f>+541154798277</f>
        <v>541154798277</v>
      </c>
      <c r="D688" s="7" t="s">
        <v>1601</v>
      </c>
      <c r="E688" s="14" t="s">
        <v>24</v>
      </c>
      <c r="F688" s="14" t="s">
        <v>21</v>
      </c>
      <c r="G688" s="14" t="s">
        <v>25</v>
      </c>
      <c r="H688" s="12" t="s">
        <v>717</v>
      </c>
      <c r="I688" s="7" t="s">
        <v>1602</v>
      </c>
      <c r="K688" s="14" t="s">
        <v>578</v>
      </c>
      <c r="L688" s="7" t="s">
        <v>584</v>
      </c>
      <c r="M688" s="7" t="s">
        <v>624</v>
      </c>
      <c r="N688" s="7" t="s">
        <v>581</v>
      </c>
    </row>
    <row r="689">
      <c r="A689" s="4">
        <v>46001.0</v>
      </c>
      <c r="B689" s="7" t="s">
        <v>1603</v>
      </c>
      <c r="C689" s="21">
        <f>+5491167115314</f>
        <v>5491167115314</v>
      </c>
      <c r="D689" s="7" t="s">
        <v>1604</v>
      </c>
      <c r="E689" s="14" t="s">
        <v>24</v>
      </c>
      <c r="F689" s="14" t="s">
        <v>21</v>
      </c>
      <c r="G689" s="14" t="s">
        <v>25</v>
      </c>
      <c r="H689" s="12" t="s">
        <v>717</v>
      </c>
      <c r="I689" s="7" t="s">
        <v>1605</v>
      </c>
      <c r="K689" s="14" t="s">
        <v>578</v>
      </c>
      <c r="L689" s="7" t="s">
        <v>584</v>
      </c>
      <c r="M689" s="7" t="s">
        <v>624</v>
      </c>
      <c r="N689" s="7" t="s">
        <v>585</v>
      </c>
    </row>
    <row r="690">
      <c r="A690" s="4">
        <v>46001.0</v>
      </c>
      <c r="B690" s="7" t="s">
        <v>1606</v>
      </c>
      <c r="C690" s="21">
        <f>+542257415345</f>
        <v>542257415345</v>
      </c>
      <c r="D690" s="7" t="s">
        <v>1607</v>
      </c>
      <c r="E690" s="7" t="s">
        <v>577</v>
      </c>
      <c r="F690" s="14" t="s">
        <v>21</v>
      </c>
      <c r="G690" s="14" t="s">
        <v>25</v>
      </c>
      <c r="H690" s="12" t="s">
        <v>717</v>
      </c>
      <c r="I690" s="7" t="s">
        <v>1608</v>
      </c>
      <c r="K690" s="14" t="s">
        <v>578</v>
      </c>
      <c r="L690" s="7" t="s">
        <v>579</v>
      </c>
      <c r="M690" s="7" t="s">
        <v>1055</v>
      </c>
      <c r="N690" s="7" t="s">
        <v>585</v>
      </c>
    </row>
    <row r="691">
      <c r="A691" s="4">
        <v>46001.0</v>
      </c>
      <c r="B691" s="7" t="s">
        <v>1609</v>
      </c>
      <c r="C691" s="21">
        <f>+542994135123</f>
        <v>542994135123</v>
      </c>
      <c r="D691" s="7" t="s">
        <v>1610</v>
      </c>
      <c r="E691" s="14" t="s">
        <v>24</v>
      </c>
      <c r="F691" s="12" t="s">
        <v>17</v>
      </c>
      <c r="G691" s="14" t="s">
        <v>18</v>
      </c>
      <c r="H691" s="12" t="s">
        <v>717</v>
      </c>
      <c r="I691" s="7" t="s">
        <v>1611</v>
      </c>
      <c r="K691" s="14" t="s">
        <v>578</v>
      </c>
      <c r="L691" s="7" t="s">
        <v>579</v>
      </c>
      <c r="M691" s="7" t="s">
        <v>1055</v>
      </c>
      <c r="N691" s="7" t="s">
        <v>585</v>
      </c>
    </row>
    <row r="692">
      <c r="A692" s="4">
        <v>46001.0</v>
      </c>
      <c r="B692" s="7" t="s">
        <v>1612</v>
      </c>
      <c r="C692" s="21">
        <f>+543415912923</f>
        <v>543415912923</v>
      </c>
      <c r="D692" s="7" t="s">
        <v>1613</v>
      </c>
      <c r="E692" s="14" t="s">
        <v>16</v>
      </c>
      <c r="F692" s="14" t="s">
        <v>21</v>
      </c>
      <c r="G692" s="9" t="s">
        <v>1045</v>
      </c>
      <c r="H692" s="12" t="s">
        <v>717</v>
      </c>
      <c r="I692" s="7" t="s">
        <v>731</v>
      </c>
      <c r="K692" s="14" t="s">
        <v>578</v>
      </c>
      <c r="L692" s="7" t="s">
        <v>579</v>
      </c>
      <c r="M692" s="7" t="s">
        <v>610</v>
      </c>
      <c r="N692" s="7" t="s">
        <v>585</v>
      </c>
    </row>
    <row r="693">
      <c r="A693" s="4">
        <v>46001.0</v>
      </c>
      <c r="B693" s="7" t="s">
        <v>1614</v>
      </c>
      <c r="C693" s="21">
        <f>+543512329766</f>
        <v>543512329766</v>
      </c>
      <c r="D693" s="7" t="s">
        <v>1615</v>
      </c>
      <c r="E693" s="14" t="s">
        <v>24</v>
      </c>
      <c r="F693" s="14" t="s">
        <v>21</v>
      </c>
      <c r="G693" s="14" t="s">
        <v>18</v>
      </c>
      <c r="H693" s="12" t="s">
        <v>740</v>
      </c>
      <c r="I693" s="7" t="s">
        <v>734</v>
      </c>
      <c r="K693" s="14" t="s">
        <v>578</v>
      </c>
      <c r="L693" s="7" t="s">
        <v>579</v>
      </c>
      <c r="M693" s="7" t="s">
        <v>610</v>
      </c>
      <c r="N693" s="7" t="s">
        <v>585</v>
      </c>
    </row>
    <row r="694">
      <c r="A694" s="4">
        <v>45941.0</v>
      </c>
      <c r="B694" s="7" t="s">
        <v>1616</v>
      </c>
      <c r="C694" s="21">
        <f>+541161817596</f>
        <v>541161817596</v>
      </c>
      <c r="D694" s="7" t="s">
        <v>1617</v>
      </c>
      <c r="E694" s="14" t="s">
        <v>24</v>
      </c>
      <c r="F694" s="14" t="s">
        <v>21</v>
      </c>
      <c r="G694" s="14" t="s">
        <v>25</v>
      </c>
      <c r="H694" s="12" t="s">
        <v>717</v>
      </c>
      <c r="I694" s="7" t="s">
        <v>1618</v>
      </c>
      <c r="K694" s="14" t="s">
        <v>578</v>
      </c>
      <c r="L694" s="7" t="s">
        <v>584</v>
      </c>
      <c r="M694" s="7" t="s">
        <v>624</v>
      </c>
      <c r="N694" s="7" t="s">
        <v>585</v>
      </c>
    </row>
    <row r="695">
      <c r="A695" s="4">
        <v>45941.0</v>
      </c>
      <c r="B695" s="7" t="s">
        <v>1619</v>
      </c>
      <c r="C695" s="21">
        <f>+5492996214184</f>
        <v>5492996214184</v>
      </c>
      <c r="D695" s="7" t="s">
        <v>1620</v>
      </c>
      <c r="E695" s="14" t="s">
        <v>24</v>
      </c>
      <c r="F695" s="14" t="s">
        <v>21</v>
      </c>
      <c r="G695" s="14" t="s">
        <v>25</v>
      </c>
      <c r="H695" s="12" t="s">
        <v>717</v>
      </c>
      <c r="I695" s="7" t="s">
        <v>992</v>
      </c>
      <c r="K695" s="14" t="s">
        <v>578</v>
      </c>
      <c r="L695" s="7" t="s">
        <v>584</v>
      </c>
      <c r="M695" s="7" t="s">
        <v>624</v>
      </c>
      <c r="N695" s="7" t="s">
        <v>585</v>
      </c>
    </row>
    <row r="696">
      <c r="A696" s="4">
        <v>45941.0</v>
      </c>
      <c r="B696" s="7" t="s">
        <v>1621</v>
      </c>
      <c r="C696" s="21">
        <f>+541126946939</f>
        <v>541126946939</v>
      </c>
      <c r="D696" s="7" t="s">
        <v>1622</v>
      </c>
      <c r="E696" s="14" t="s">
        <v>24</v>
      </c>
      <c r="F696" s="12" t="s">
        <v>17</v>
      </c>
      <c r="G696" s="14" t="s">
        <v>25</v>
      </c>
      <c r="H696" s="9" t="s">
        <v>727</v>
      </c>
      <c r="I696" s="7" t="s">
        <v>801</v>
      </c>
      <c r="K696" s="14" t="s">
        <v>578</v>
      </c>
      <c r="L696" s="7" t="s">
        <v>584</v>
      </c>
      <c r="M696" s="7" t="s">
        <v>624</v>
      </c>
      <c r="N696" s="7" t="s">
        <v>581</v>
      </c>
    </row>
    <row r="697">
      <c r="A697" s="4">
        <v>45941.0</v>
      </c>
      <c r="B697" s="7" t="s">
        <v>1623</v>
      </c>
      <c r="C697" s="21">
        <f>+541133463290</f>
        <v>541133463290</v>
      </c>
      <c r="D697" s="7" t="s">
        <v>1624</v>
      </c>
      <c r="E697" s="14" t="s">
        <v>24</v>
      </c>
      <c r="F697" s="14" t="s">
        <v>21</v>
      </c>
      <c r="G697" s="14" t="s">
        <v>25</v>
      </c>
      <c r="H697" s="12" t="s">
        <v>717</v>
      </c>
      <c r="I697" s="7" t="s">
        <v>1625</v>
      </c>
      <c r="K697" s="14" t="s">
        <v>578</v>
      </c>
      <c r="L697" s="7" t="s">
        <v>584</v>
      </c>
      <c r="M697" s="7" t="s">
        <v>624</v>
      </c>
      <c r="N697" s="7" t="s">
        <v>581</v>
      </c>
    </row>
    <row r="698">
      <c r="A698" s="4">
        <v>45941.0</v>
      </c>
      <c r="B698" s="7" t="s">
        <v>1626</v>
      </c>
      <c r="C698" s="21">
        <f>+543764138757</f>
        <v>543764138757</v>
      </c>
      <c r="D698" s="7" t="s">
        <v>1627</v>
      </c>
      <c r="E698" s="14" t="s">
        <v>24</v>
      </c>
      <c r="F698" s="14" t="s">
        <v>21</v>
      </c>
      <c r="G698" s="9" t="s">
        <v>1045</v>
      </c>
      <c r="H698" s="12" t="s">
        <v>717</v>
      </c>
      <c r="I698" s="7" t="s">
        <v>1628</v>
      </c>
      <c r="K698" s="14" t="s">
        <v>578</v>
      </c>
      <c r="L698" s="19" t="s">
        <v>579</v>
      </c>
      <c r="M698" s="19" t="s">
        <v>1055</v>
      </c>
      <c r="N698" s="19" t="s">
        <v>581</v>
      </c>
      <c r="O698" s="15"/>
    </row>
    <row r="699">
      <c r="A699" s="4">
        <v>45941.0</v>
      </c>
      <c r="B699" s="7" t="s">
        <v>1629</v>
      </c>
      <c r="C699" s="21">
        <f>+541152615264</f>
        <v>541152615264</v>
      </c>
      <c r="D699" s="7" t="s">
        <v>1630</v>
      </c>
      <c r="E699" s="7" t="s">
        <v>577</v>
      </c>
      <c r="F699" s="14" t="s">
        <v>21</v>
      </c>
      <c r="G699" s="14" t="s">
        <v>18</v>
      </c>
      <c r="H699" s="9" t="s">
        <v>727</v>
      </c>
      <c r="I699" s="7" t="s">
        <v>1631</v>
      </c>
      <c r="K699" s="14" t="s">
        <v>578</v>
      </c>
      <c r="L699" s="19" t="s">
        <v>584</v>
      </c>
      <c r="M699" s="19" t="s">
        <v>624</v>
      </c>
      <c r="N699" s="19" t="s">
        <v>585</v>
      </c>
      <c r="O699" s="15"/>
    </row>
    <row r="700">
      <c r="A700" s="4">
        <v>45941.0</v>
      </c>
      <c r="B700" s="7" t="s">
        <v>1632</v>
      </c>
      <c r="C700" s="21">
        <f>+541128429266</f>
        <v>541128429266</v>
      </c>
      <c r="D700" s="7" t="s">
        <v>1633</v>
      </c>
      <c r="E700" s="14" t="s">
        <v>24</v>
      </c>
      <c r="F700" s="14" t="s">
        <v>21</v>
      </c>
      <c r="G700" s="14" t="s">
        <v>18</v>
      </c>
      <c r="H700" s="12" t="s">
        <v>717</v>
      </c>
      <c r="I700" s="7" t="s">
        <v>1634</v>
      </c>
      <c r="K700" s="14" t="s">
        <v>578</v>
      </c>
      <c r="L700" s="19" t="s">
        <v>584</v>
      </c>
      <c r="M700" s="19" t="s">
        <v>624</v>
      </c>
      <c r="N700" s="19" t="s">
        <v>581</v>
      </c>
      <c r="O700" s="15"/>
    </row>
    <row r="701">
      <c r="A701" s="4">
        <v>45941.0</v>
      </c>
      <c r="B701" s="19" t="s">
        <v>1635</v>
      </c>
      <c r="C701" s="20">
        <f>+541165940564</f>
        <v>541165940564</v>
      </c>
      <c r="D701" s="19" t="s">
        <v>1636</v>
      </c>
      <c r="E701" s="14" t="s">
        <v>16</v>
      </c>
      <c r="F701" s="14" t="s">
        <v>21</v>
      </c>
      <c r="G701" s="14" t="s">
        <v>25</v>
      </c>
      <c r="H701" s="12" t="s">
        <v>727</v>
      </c>
      <c r="I701" s="19" t="s">
        <v>1177</v>
      </c>
      <c r="K701" s="14" t="s">
        <v>578</v>
      </c>
      <c r="L701" s="19" t="s">
        <v>584</v>
      </c>
      <c r="M701" s="19" t="s">
        <v>624</v>
      </c>
      <c r="N701" s="19" t="s">
        <v>585</v>
      </c>
      <c r="O701" s="15"/>
    </row>
    <row r="702">
      <c r="A702" s="4">
        <v>45942.0</v>
      </c>
      <c r="B702" s="19" t="s">
        <v>1637</v>
      </c>
      <c r="C702" s="20">
        <f>+541170212953</f>
        <v>541170212953</v>
      </c>
      <c r="D702" s="19" t="s">
        <v>1638</v>
      </c>
      <c r="E702" s="19" t="s">
        <v>577</v>
      </c>
      <c r="F702" s="14" t="s">
        <v>21</v>
      </c>
      <c r="G702" s="14" t="s">
        <v>25</v>
      </c>
      <c r="H702" s="12" t="s">
        <v>717</v>
      </c>
      <c r="I702" s="19" t="s">
        <v>972</v>
      </c>
      <c r="K702" s="14" t="s">
        <v>578</v>
      </c>
      <c r="L702" s="19" t="s">
        <v>584</v>
      </c>
      <c r="M702" s="19" t="s">
        <v>624</v>
      </c>
      <c r="N702" s="19" t="s">
        <v>581</v>
      </c>
      <c r="O702" s="15"/>
    </row>
    <row r="703">
      <c r="A703" s="4">
        <v>45942.0</v>
      </c>
      <c r="B703" s="19" t="s">
        <v>1639</v>
      </c>
      <c r="C703" s="20">
        <f>+542914661607</f>
        <v>542914661607</v>
      </c>
      <c r="D703" s="19" t="s">
        <v>1640</v>
      </c>
      <c r="E703" s="19" t="s">
        <v>577</v>
      </c>
      <c r="F703" s="14" t="s">
        <v>21</v>
      </c>
      <c r="G703" s="14" t="s">
        <v>25</v>
      </c>
      <c r="H703" s="12" t="s">
        <v>717</v>
      </c>
      <c r="I703" s="19" t="s">
        <v>1583</v>
      </c>
      <c r="K703" s="14" t="s">
        <v>578</v>
      </c>
      <c r="L703" s="19" t="s">
        <v>579</v>
      </c>
      <c r="M703" s="19" t="s">
        <v>1055</v>
      </c>
      <c r="N703" s="19" t="s">
        <v>581</v>
      </c>
      <c r="O703" s="15"/>
    </row>
    <row r="704">
      <c r="A704" s="4">
        <v>45942.0</v>
      </c>
      <c r="B704" s="19" t="s">
        <v>1641</v>
      </c>
      <c r="C704" s="20">
        <f>+542974146664</f>
        <v>542974146664</v>
      </c>
      <c r="D704" s="19" t="s">
        <v>1642</v>
      </c>
      <c r="E704" s="19" t="s">
        <v>577</v>
      </c>
      <c r="F704" s="14" t="s">
        <v>21</v>
      </c>
      <c r="G704" s="14" t="s">
        <v>25</v>
      </c>
      <c r="H704" s="12" t="s">
        <v>727</v>
      </c>
      <c r="I704" s="19" t="s">
        <v>1643</v>
      </c>
      <c r="K704" s="14" t="s">
        <v>578</v>
      </c>
      <c r="L704" s="19" t="s">
        <v>579</v>
      </c>
      <c r="M704" s="19" t="s">
        <v>1055</v>
      </c>
      <c r="N704" s="19" t="s">
        <v>581</v>
      </c>
      <c r="O704" s="15"/>
    </row>
    <row r="705">
      <c r="A705" s="4">
        <v>45942.0</v>
      </c>
      <c r="B705" s="19" t="s">
        <v>1644</v>
      </c>
      <c r="C705" s="20">
        <f>+543571622885</f>
        <v>543571622885</v>
      </c>
      <c r="D705" s="19" t="s">
        <v>1645</v>
      </c>
      <c r="E705" s="14" t="s">
        <v>24</v>
      </c>
      <c r="F705" s="14" t="s">
        <v>21</v>
      </c>
      <c r="G705" s="14" t="s">
        <v>18</v>
      </c>
      <c r="H705" s="12" t="s">
        <v>717</v>
      </c>
      <c r="I705" s="19" t="s">
        <v>1646</v>
      </c>
      <c r="K705" s="14" t="s">
        <v>578</v>
      </c>
      <c r="L705" s="19" t="s">
        <v>579</v>
      </c>
      <c r="M705" s="19" t="s">
        <v>580</v>
      </c>
      <c r="N705" s="19" t="s">
        <v>585</v>
      </c>
      <c r="O705" s="15"/>
    </row>
    <row r="706">
      <c r="A706" s="4">
        <v>45942.0</v>
      </c>
      <c r="B706" s="19" t="s">
        <v>1647</v>
      </c>
      <c r="C706" s="20">
        <f>+542994279741</f>
        <v>542994279741</v>
      </c>
      <c r="D706" s="19" t="s">
        <v>1648</v>
      </c>
      <c r="E706" s="14" t="s">
        <v>24</v>
      </c>
      <c r="F706" s="14" t="s">
        <v>21</v>
      </c>
      <c r="G706" s="14" t="s">
        <v>25</v>
      </c>
      <c r="H706" s="12" t="s">
        <v>717</v>
      </c>
      <c r="I706" s="19" t="s">
        <v>1649</v>
      </c>
      <c r="K706" s="14" t="s">
        <v>578</v>
      </c>
      <c r="L706" s="19" t="s">
        <v>579</v>
      </c>
      <c r="M706" s="19" t="s">
        <v>1055</v>
      </c>
      <c r="N706" s="19" t="s">
        <v>585</v>
      </c>
      <c r="O706" s="15"/>
    </row>
    <row r="707">
      <c r="A707" s="4">
        <v>45943.0</v>
      </c>
      <c r="B707" s="19" t="s">
        <v>1650</v>
      </c>
      <c r="C707" s="20">
        <f>+543825660554</f>
        <v>543825660554</v>
      </c>
      <c r="D707" s="19" t="s">
        <v>1651</v>
      </c>
      <c r="E707" s="14" t="s">
        <v>24</v>
      </c>
      <c r="F707" s="14" t="s">
        <v>21</v>
      </c>
      <c r="G707" s="14" t="s">
        <v>18</v>
      </c>
      <c r="H707" s="12" t="s">
        <v>717</v>
      </c>
      <c r="I707" s="19" t="s">
        <v>1652</v>
      </c>
      <c r="K707" s="14" t="s">
        <v>578</v>
      </c>
      <c r="L707" s="19" t="s">
        <v>579</v>
      </c>
      <c r="M707" s="19" t="s">
        <v>1055</v>
      </c>
      <c r="N707" s="19" t="s">
        <v>585</v>
      </c>
      <c r="O707" s="15"/>
    </row>
    <row r="708">
      <c r="A708" s="4">
        <v>45943.0</v>
      </c>
      <c r="B708" s="19" t="s">
        <v>1653</v>
      </c>
      <c r="C708" s="20">
        <f>+5491131105942</f>
        <v>5491131105942</v>
      </c>
      <c r="D708" s="19" t="s">
        <v>1654</v>
      </c>
      <c r="E708" s="19" t="s">
        <v>577</v>
      </c>
      <c r="F708" s="14" t="s">
        <v>21</v>
      </c>
      <c r="G708" s="14" t="s">
        <v>25</v>
      </c>
      <c r="H708" s="12" t="s">
        <v>740</v>
      </c>
      <c r="I708" s="19" t="s">
        <v>1655</v>
      </c>
      <c r="K708" s="14" t="s">
        <v>578</v>
      </c>
      <c r="L708" s="19" t="s">
        <v>584</v>
      </c>
      <c r="M708" s="19" t="s">
        <v>624</v>
      </c>
      <c r="N708" s="19" t="s">
        <v>585</v>
      </c>
      <c r="O708" s="15"/>
    </row>
    <row r="709">
      <c r="A709" s="4">
        <v>45943.0</v>
      </c>
      <c r="B709" s="19" t="s">
        <v>1656</v>
      </c>
      <c r="C709" s="20">
        <f>+543424682039</f>
        <v>543424682039</v>
      </c>
      <c r="D709" s="19" t="s">
        <v>1657</v>
      </c>
      <c r="E709" s="14" t="s">
        <v>24</v>
      </c>
      <c r="F709" s="14" t="s">
        <v>32</v>
      </c>
      <c r="G709" s="14" t="s">
        <v>25</v>
      </c>
      <c r="H709" s="9" t="s">
        <v>745</v>
      </c>
      <c r="I709" s="19" t="s">
        <v>1658</v>
      </c>
      <c r="K709" s="14" t="s">
        <v>578</v>
      </c>
      <c r="L709" s="19" t="s">
        <v>579</v>
      </c>
      <c r="M709" s="19" t="s">
        <v>624</v>
      </c>
      <c r="N709" s="19" t="s">
        <v>581</v>
      </c>
      <c r="O709" s="15"/>
    </row>
    <row r="710">
      <c r="A710" s="4">
        <v>45943.0</v>
      </c>
      <c r="B710" s="19" t="s">
        <v>1659</v>
      </c>
      <c r="C710" s="20">
        <f>+541155273381</f>
        <v>541155273381</v>
      </c>
      <c r="D710" s="19" t="s">
        <v>1660</v>
      </c>
      <c r="E710" s="14" t="s">
        <v>24</v>
      </c>
      <c r="F710" s="14" t="s">
        <v>21</v>
      </c>
      <c r="G710" s="14" t="s">
        <v>25</v>
      </c>
      <c r="H710" s="12" t="s">
        <v>717</v>
      </c>
      <c r="I710" s="19" t="s">
        <v>1661</v>
      </c>
      <c r="K710" s="14" t="s">
        <v>578</v>
      </c>
      <c r="L710" s="19" t="s">
        <v>584</v>
      </c>
      <c r="M710" s="19" t="s">
        <v>624</v>
      </c>
      <c r="N710" s="19" t="s">
        <v>581</v>
      </c>
      <c r="O710" s="15"/>
    </row>
    <row r="711">
      <c r="A711" s="4">
        <v>45943.0</v>
      </c>
      <c r="B711" s="19" t="s">
        <v>1662</v>
      </c>
      <c r="C711" s="20">
        <f>+542914277860</f>
        <v>542914277860</v>
      </c>
      <c r="D711" s="19" t="s">
        <v>1663</v>
      </c>
      <c r="E711" s="14" t="s">
        <v>16</v>
      </c>
      <c r="F711" s="14" t="s">
        <v>21</v>
      </c>
      <c r="G711" s="14" t="s">
        <v>25</v>
      </c>
      <c r="H711" s="9" t="s">
        <v>745</v>
      </c>
      <c r="I711" s="19" t="s">
        <v>992</v>
      </c>
      <c r="K711" s="14" t="s">
        <v>578</v>
      </c>
      <c r="L711" s="19" t="s">
        <v>579</v>
      </c>
      <c r="M711" s="19" t="s">
        <v>1055</v>
      </c>
      <c r="N711" s="19" t="s">
        <v>585</v>
      </c>
      <c r="O711" s="15"/>
    </row>
    <row r="712">
      <c r="A712" s="4">
        <v>45943.0</v>
      </c>
      <c r="B712" s="19" t="s">
        <v>1664</v>
      </c>
      <c r="C712" s="20">
        <f>+541135633985</f>
        <v>541135633985</v>
      </c>
      <c r="D712" s="19" t="s">
        <v>142</v>
      </c>
      <c r="E712" s="14" t="s">
        <v>16</v>
      </c>
      <c r="F712" s="12" t="s">
        <v>17</v>
      </c>
      <c r="G712" s="14" t="s">
        <v>18</v>
      </c>
      <c r="H712" s="9" t="s">
        <v>745</v>
      </c>
      <c r="I712" s="19" t="s">
        <v>756</v>
      </c>
      <c r="K712" s="14" t="s">
        <v>578</v>
      </c>
      <c r="L712" s="19" t="s">
        <v>584</v>
      </c>
      <c r="M712" s="19" t="s">
        <v>624</v>
      </c>
      <c r="N712" s="19" t="s">
        <v>581</v>
      </c>
      <c r="O712" s="15"/>
    </row>
    <row r="713">
      <c r="A713" s="4">
        <v>45944.0</v>
      </c>
      <c r="B713" s="19" t="s">
        <v>1665</v>
      </c>
      <c r="C713" s="20">
        <f>+5493541528543</f>
        <v>5493541528543</v>
      </c>
      <c r="D713" s="19" t="s">
        <v>1666</v>
      </c>
      <c r="E713" s="14" t="s">
        <v>16</v>
      </c>
      <c r="F713" s="14" t="s">
        <v>21</v>
      </c>
      <c r="G713" s="14" t="s">
        <v>25</v>
      </c>
      <c r="H713" s="12" t="s">
        <v>717</v>
      </c>
      <c r="I713" s="19" t="s">
        <v>759</v>
      </c>
      <c r="K713" s="14" t="s">
        <v>578</v>
      </c>
      <c r="L713" s="19" t="s">
        <v>579</v>
      </c>
      <c r="M713" s="19" t="s">
        <v>1055</v>
      </c>
      <c r="N713" s="19" t="s">
        <v>585</v>
      </c>
      <c r="O713" s="15"/>
    </row>
    <row r="714">
      <c r="A714" s="4">
        <v>45944.0</v>
      </c>
      <c r="B714" s="19" t="s">
        <v>1667</v>
      </c>
      <c r="C714" s="20">
        <f>+541176217741</f>
        <v>541176217741</v>
      </c>
      <c r="D714" s="19" t="s">
        <v>1668</v>
      </c>
      <c r="E714" s="14" t="s">
        <v>24</v>
      </c>
      <c r="F714" s="14" t="s">
        <v>21</v>
      </c>
      <c r="G714" s="14" t="s">
        <v>25</v>
      </c>
      <c r="H714" s="12" t="s">
        <v>717</v>
      </c>
      <c r="I714" s="19" t="s">
        <v>1669</v>
      </c>
      <c r="K714" s="14" t="s">
        <v>578</v>
      </c>
      <c r="L714" s="19" t="s">
        <v>584</v>
      </c>
      <c r="M714" s="19" t="s">
        <v>580</v>
      </c>
      <c r="N714" s="19" t="s">
        <v>581</v>
      </c>
      <c r="O714" s="15"/>
    </row>
    <row r="715">
      <c r="A715" s="4">
        <v>45944.0</v>
      </c>
      <c r="B715" s="19" t="s">
        <v>1670</v>
      </c>
      <c r="C715" s="24">
        <v>3.492695536E9</v>
      </c>
      <c r="D715" s="19" t="s">
        <v>1671</v>
      </c>
      <c r="E715" s="14" t="s">
        <v>24</v>
      </c>
      <c r="F715" s="14" t="s">
        <v>21</v>
      </c>
      <c r="G715" s="9" t="s">
        <v>1045</v>
      </c>
      <c r="H715" s="12" t="s">
        <v>717</v>
      </c>
      <c r="I715" s="19" t="s">
        <v>1672</v>
      </c>
      <c r="K715" s="14" t="s">
        <v>578</v>
      </c>
      <c r="L715" s="19" t="s">
        <v>579</v>
      </c>
      <c r="M715" s="19" t="s">
        <v>1055</v>
      </c>
      <c r="N715" s="19" t="s">
        <v>585</v>
      </c>
      <c r="O715" s="15"/>
    </row>
    <row r="716">
      <c r="A716" s="4">
        <v>45944.0</v>
      </c>
      <c r="B716" s="19" t="s">
        <v>1673</v>
      </c>
      <c r="C716" s="20">
        <f>+543856153554</f>
        <v>543856153554</v>
      </c>
      <c r="D716" s="19" t="s">
        <v>1674</v>
      </c>
      <c r="E716" s="19" t="s">
        <v>577</v>
      </c>
      <c r="F716" s="12" t="s">
        <v>17</v>
      </c>
      <c r="G716" s="14" t="s">
        <v>25</v>
      </c>
      <c r="H716" s="12" t="s">
        <v>740</v>
      </c>
      <c r="I716" s="19" t="s">
        <v>1675</v>
      </c>
      <c r="K716" s="14" t="s">
        <v>578</v>
      </c>
      <c r="L716" s="19" t="s">
        <v>579</v>
      </c>
      <c r="M716" s="19" t="s">
        <v>1055</v>
      </c>
      <c r="N716" s="19" t="s">
        <v>581</v>
      </c>
      <c r="O716" s="15"/>
    </row>
    <row r="717">
      <c r="A717" s="4">
        <v>45944.0</v>
      </c>
      <c r="B717" s="19" t="s">
        <v>1676</v>
      </c>
      <c r="C717" s="20">
        <f>+541155680717</f>
        <v>541155680717</v>
      </c>
      <c r="D717" s="19" t="s">
        <v>1677</v>
      </c>
      <c r="E717" s="19" t="s">
        <v>577</v>
      </c>
      <c r="F717" s="14" t="s">
        <v>21</v>
      </c>
      <c r="G717" s="14" t="s">
        <v>25</v>
      </c>
      <c r="H717" s="12" t="s">
        <v>717</v>
      </c>
      <c r="I717" s="19" t="s">
        <v>1678</v>
      </c>
      <c r="K717" s="14" t="s">
        <v>578</v>
      </c>
      <c r="L717" s="7" t="s">
        <v>584</v>
      </c>
      <c r="M717" s="7" t="s">
        <v>1055</v>
      </c>
      <c r="N717" s="7" t="s">
        <v>581</v>
      </c>
    </row>
    <row r="718">
      <c r="A718" s="4">
        <v>45944.0</v>
      </c>
      <c r="B718" s="19" t="s">
        <v>1679</v>
      </c>
      <c r="C718" s="20">
        <f>+541140633754</f>
        <v>541140633754</v>
      </c>
      <c r="D718" s="19" t="s">
        <v>1680</v>
      </c>
      <c r="E718" s="14" t="s">
        <v>24</v>
      </c>
      <c r="F718" s="14" t="s">
        <v>21</v>
      </c>
      <c r="G718" s="14" t="s">
        <v>25</v>
      </c>
      <c r="H718" s="12" t="s">
        <v>717</v>
      </c>
      <c r="I718" s="19" t="s">
        <v>1681</v>
      </c>
      <c r="K718" s="14" t="s">
        <v>578</v>
      </c>
      <c r="L718" s="7" t="s">
        <v>584</v>
      </c>
      <c r="M718" s="7" t="s">
        <v>624</v>
      </c>
      <c r="N718" s="7" t="s">
        <v>581</v>
      </c>
    </row>
    <row r="719">
      <c r="A719" s="4">
        <v>45945.0</v>
      </c>
      <c r="B719" s="7" t="s">
        <v>1682</v>
      </c>
      <c r="C719" s="21">
        <f>+541164784416</f>
        <v>541164784416</v>
      </c>
      <c r="D719" s="7" t="s">
        <v>1683</v>
      </c>
      <c r="E719" s="14" t="s">
        <v>16</v>
      </c>
      <c r="F719" s="12" t="s">
        <v>17</v>
      </c>
      <c r="G719" s="9" t="s">
        <v>1045</v>
      </c>
      <c r="H719" s="12" t="s">
        <v>717</v>
      </c>
      <c r="I719" s="7" t="s">
        <v>1206</v>
      </c>
      <c r="K719" s="14" t="s">
        <v>578</v>
      </c>
      <c r="L719" s="7" t="s">
        <v>584</v>
      </c>
      <c r="M719" s="7" t="s">
        <v>624</v>
      </c>
      <c r="N719" s="7" t="s">
        <v>581</v>
      </c>
    </row>
    <row r="720">
      <c r="A720" s="4">
        <v>45945.0</v>
      </c>
      <c r="B720" s="7" t="s">
        <v>1684</v>
      </c>
      <c r="C720" s="21">
        <f>+542246462595</f>
        <v>542246462595</v>
      </c>
      <c r="D720" s="7" t="s">
        <v>1685</v>
      </c>
      <c r="E720" s="7" t="s">
        <v>577</v>
      </c>
      <c r="F720" s="12" t="s">
        <v>17</v>
      </c>
      <c r="G720" s="14" t="s">
        <v>18</v>
      </c>
      <c r="H720" s="12" t="s">
        <v>717</v>
      </c>
      <c r="I720" s="7" t="s">
        <v>780</v>
      </c>
      <c r="K720" s="14" t="s">
        <v>578</v>
      </c>
      <c r="L720" s="7" t="s">
        <v>579</v>
      </c>
      <c r="M720" s="7" t="s">
        <v>580</v>
      </c>
      <c r="N720" s="7" t="s">
        <v>581</v>
      </c>
    </row>
    <row r="721">
      <c r="A721" s="4">
        <v>45945.0</v>
      </c>
      <c r="B721" s="7" t="s">
        <v>1686</v>
      </c>
      <c r="C721" s="21">
        <f>+543537331523</f>
        <v>543537331523</v>
      </c>
      <c r="D721" s="7" t="s">
        <v>1687</v>
      </c>
      <c r="E721" s="14" t="s">
        <v>24</v>
      </c>
      <c r="F721" s="14" t="s">
        <v>21</v>
      </c>
      <c r="G721" s="14" t="s">
        <v>25</v>
      </c>
      <c r="H721" s="12" t="s">
        <v>717</v>
      </c>
      <c r="I721" s="7" t="s">
        <v>767</v>
      </c>
      <c r="K721" s="14" t="s">
        <v>578</v>
      </c>
      <c r="L721" s="7" t="s">
        <v>579</v>
      </c>
      <c r="M721" s="7" t="s">
        <v>580</v>
      </c>
      <c r="N721" s="7" t="s">
        <v>585</v>
      </c>
    </row>
    <row r="722">
      <c r="A722" s="4">
        <v>45945.0</v>
      </c>
      <c r="B722" s="7" t="s">
        <v>1688</v>
      </c>
      <c r="C722" s="21">
        <f>+541167849754</f>
        <v>541167849754</v>
      </c>
      <c r="D722" s="7" t="s">
        <v>1689</v>
      </c>
      <c r="E722" s="14" t="s">
        <v>24</v>
      </c>
      <c r="F722" s="14" t="s">
        <v>21</v>
      </c>
      <c r="G722" s="14" t="s">
        <v>25</v>
      </c>
      <c r="H722" s="12" t="s">
        <v>740</v>
      </c>
      <c r="I722" s="7" t="s">
        <v>1690</v>
      </c>
      <c r="K722" s="14" t="s">
        <v>578</v>
      </c>
      <c r="L722" s="7" t="s">
        <v>584</v>
      </c>
      <c r="M722" s="7" t="s">
        <v>624</v>
      </c>
      <c r="N722" s="7" t="s">
        <v>585</v>
      </c>
    </row>
    <row r="723">
      <c r="A723" s="4">
        <v>45945.0</v>
      </c>
      <c r="B723" s="7" t="s">
        <v>1691</v>
      </c>
      <c r="C723" s="21">
        <f>+542317581910</f>
        <v>542317581910</v>
      </c>
      <c r="D723" s="7" t="s">
        <v>1692</v>
      </c>
      <c r="E723" s="14" t="s">
        <v>24</v>
      </c>
      <c r="F723" s="14" t="s">
        <v>21</v>
      </c>
      <c r="G723" s="14" t="s">
        <v>25</v>
      </c>
      <c r="H723" s="12" t="s">
        <v>740</v>
      </c>
      <c r="I723" s="7" t="s">
        <v>879</v>
      </c>
      <c r="K723" s="14" t="s">
        <v>578</v>
      </c>
      <c r="L723" s="7" t="s">
        <v>579</v>
      </c>
      <c r="M723" s="7" t="s">
        <v>580</v>
      </c>
      <c r="N723" s="7" t="s">
        <v>585</v>
      </c>
    </row>
    <row r="724">
      <c r="A724" s="4">
        <v>45945.0</v>
      </c>
      <c r="B724" s="7" t="s">
        <v>1693</v>
      </c>
      <c r="C724" s="21">
        <f>+542984563584</f>
        <v>542984563584</v>
      </c>
      <c r="D724" s="7" t="s">
        <v>1694</v>
      </c>
      <c r="E724" s="7" t="s">
        <v>577</v>
      </c>
      <c r="F724" s="14" t="s">
        <v>21</v>
      </c>
      <c r="G724" s="14" t="s">
        <v>18</v>
      </c>
      <c r="H724" s="12" t="s">
        <v>717</v>
      </c>
      <c r="I724" s="7" t="s">
        <v>1695</v>
      </c>
      <c r="K724" s="14" t="s">
        <v>578</v>
      </c>
      <c r="L724" s="7" t="s">
        <v>579</v>
      </c>
      <c r="M724" s="7" t="s">
        <v>580</v>
      </c>
      <c r="N724" s="7" t="s">
        <v>585</v>
      </c>
    </row>
    <row r="725">
      <c r="A725" s="4">
        <v>45945.0</v>
      </c>
      <c r="B725" s="7" t="s">
        <v>1696</v>
      </c>
      <c r="C725" s="21">
        <f>+543576471563</f>
        <v>543576471563</v>
      </c>
      <c r="D725" s="7" t="s">
        <v>1697</v>
      </c>
      <c r="E725" s="14" t="s">
        <v>16</v>
      </c>
      <c r="F725" s="14" t="s">
        <v>21</v>
      </c>
      <c r="G725" s="14" t="s">
        <v>25</v>
      </c>
      <c r="H725" s="12" t="s">
        <v>717</v>
      </c>
      <c r="I725" s="7" t="s">
        <v>992</v>
      </c>
      <c r="K725" s="14" t="s">
        <v>578</v>
      </c>
      <c r="L725" s="7" t="s">
        <v>579</v>
      </c>
      <c r="M725" s="7" t="s">
        <v>580</v>
      </c>
      <c r="N725" s="7" t="s">
        <v>585</v>
      </c>
    </row>
    <row r="726">
      <c r="A726" s="4">
        <v>45945.0</v>
      </c>
      <c r="B726" s="7" t="s">
        <v>1698</v>
      </c>
      <c r="C726" s="21">
        <f>+5491149393339</f>
        <v>5491149393339</v>
      </c>
      <c r="D726" s="7" t="s">
        <v>1699</v>
      </c>
      <c r="E726" s="14" t="s">
        <v>24</v>
      </c>
      <c r="F726" s="14" t="s">
        <v>21</v>
      </c>
      <c r="G726" s="14" t="s">
        <v>25</v>
      </c>
      <c r="H726" s="12" t="s">
        <v>717</v>
      </c>
      <c r="I726" s="7" t="s">
        <v>752</v>
      </c>
      <c r="K726" s="14" t="s">
        <v>578</v>
      </c>
      <c r="L726" s="7" t="s">
        <v>584</v>
      </c>
      <c r="M726" s="7" t="s">
        <v>624</v>
      </c>
      <c r="N726" s="7" t="s">
        <v>585</v>
      </c>
    </row>
    <row r="727">
      <c r="A727" s="4">
        <v>45945.0</v>
      </c>
      <c r="B727" s="7" t="s">
        <v>1700</v>
      </c>
      <c r="C727" s="21">
        <f>+543492221263</f>
        <v>543492221263</v>
      </c>
      <c r="D727" s="7" t="s">
        <v>1701</v>
      </c>
      <c r="E727" s="14" t="s">
        <v>24</v>
      </c>
      <c r="F727" s="14" t="s">
        <v>21</v>
      </c>
      <c r="G727" s="14" t="s">
        <v>25</v>
      </c>
      <c r="H727" s="12" t="s">
        <v>740</v>
      </c>
      <c r="I727" s="7" t="s">
        <v>1702</v>
      </c>
      <c r="K727" s="14" t="s">
        <v>578</v>
      </c>
      <c r="L727" s="7" t="s">
        <v>579</v>
      </c>
      <c r="M727" s="7" t="s">
        <v>1055</v>
      </c>
      <c r="N727" s="7" t="s">
        <v>581</v>
      </c>
    </row>
    <row r="728">
      <c r="A728" s="4">
        <v>45945.0</v>
      </c>
      <c r="B728" s="7" t="s">
        <v>1703</v>
      </c>
      <c r="C728" s="21">
        <f>+543764714992</f>
        <v>543764714992</v>
      </c>
      <c r="D728" s="7" t="s">
        <v>1704</v>
      </c>
      <c r="E728" s="14" t="s">
        <v>16</v>
      </c>
      <c r="F728" s="14" t="s">
        <v>21</v>
      </c>
      <c r="G728" s="14" t="s">
        <v>18</v>
      </c>
      <c r="H728" s="12" t="s">
        <v>717</v>
      </c>
      <c r="I728" s="7" t="s">
        <v>1705</v>
      </c>
      <c r="K728" s="14" t="s">
        <v>578</v>
      </c>
      <c r="L728" s="7" t="s">
        <v>579</v>
      </c>
      <c r="M728" s="7" t="s">
        <v>1055</v>
      </c>
      <c r="N728" s="7" t="s">
        <v>585</v>
      </c>
    </row>
    <row r="729">
      <c r="A729" s="4">
        <v>45945.0</v>
      </c>
      <c r="B729" s="7" t="s">
        <v>1706</v>
      </c>
      <c r="C729" s="21">
        <f>+543815183987</f>
        <v>543815183987</v>
      </c>
      <c r="D729" s="7" t="s">
        <v>1707</v>
      </c>
      <c r="E729" s="7" t="s">
        <v>577</v>
      </c>
      <c r="F729" s="14" t="s">
        <v>21</v>
      </c>
      <c r="G729" s="14" t="s">
        <v>25</v>
      </c>
      <c r="H729" s="12" t="s">
        <v>717</v>
      </c>
      <c r="I729" s="7" t="s">
        <v>718</v>
      </c>
      <c r="K729" s="14" t="s">
        <v>578</v>
      </c>
      <c r="L729" s="7" t="s">
        <v>579</v>
      </c>
      <c r="M729" s="7" t="s">
        <v>1055</v>
      </c>
      <c r="N729" s="7" t="s">
        <v>585</v>
      </c>
    </row>
    <row r="730">
      <c r="A730" s="4">
        <v>45945.0</v>
      </c>
      <c r="B730" s="7" t="s">
        <v>1708</v>
      </c>
      <c r="C730" s="21">
        <f>+543404435489</f>
        <v>543404435489</v>
      </c>
      <c r="D730" s="7" t="s">
        <v>1709</v>
      </c>
      <c r="E730" s="14" t="s">
        <v>24</v>
      </c>
      <c r="F730" s="14" t="s">
        <v>21</v>
      </c>
      <c r="G730" s="14" t="s">
        <v>25</v>
      </c>
      <c r="H730" s="12" t="s">
        <v>717</v>
      </c>
      <c r="I730" s="7" t="s">
        <v>1710</v>
      </c>
      <c r="K730" s="14" t="s">
        <v>578</v>
      </c>
      <c r="L730" s="7" t="s">
        <v>584</v>
      </c>
      <c r="M730" s="7" t="s">
        <v>624</v>
      </c>
      <c r="N730" s="7" t="s">
        <v>581</v>
      </c>
    </row>
    <row r="731">
      <c r="A731" s="4">
        <v>45945.0</v>
      </c>
      <c r="B731" s="7" t="s">
        <v>1711</v>
      </c>
      <c r="C731" s="21">
        <f>+542254591146</f>
        <v>542254591146</v>
      </c>
      <c r="D731" s="7" t="s">
        <v>1712</v>
      </c>
      <c r="E731" s="7" t="s">
        <v>577</v>
      </c>
      <c r="F731" s="14" t="s">
        <v>21</v>
      </c>
      <c r="G731" s="9" t="s">
        <v>1045</v>
      </c>
      <c r="H731" s="12" t="s">
        <v>717</v>
      </c>
      <c r="I731" s="7" t="s">
        <v>1713</v>
      </c>
      <c r="K731" s="14" t="s">
        <v>578</v>
      </c>
      <c r="L731" s="7" t="s">
        <v>579</v>
      </c>
      <c r="M731" s="7" t="s">
        <v>1055</v>
      </c>
      <c r="N731" s="7" t="s">
        <v>581</v>
      </c>
    </row>
    <row r="732">
      <c r="A732" s="4">
        <v>46007.0</v>
      </c>
      <c r="B732" s="7" t="s">
        <v>1714</v>
      </c>
      <c r="C732" s="21">
        <f>+542929415082</f>
        <v>542929415082</v>
      </c>
      <c r="D732" s="7" t="s">
        <v>1715</v>
      </c>
      <c r="E732" s="7" t="s">
        <v>577</v>
      </c>
      <c r="F732" s="12" t="s">
        <v>17</v>
      </c>
      <c r="G732" s="14" t="s">
        <v>25</v>
      </c>
      <c r="H732" s="12" t="s">
        <v>717</v>
      </c>
      <c r="I732" s="7" t="s">
        <v>1088</v>
      </c>
      <c r="K732" s="14" t="s">
        <v>578</v>
      </c>
      <c r="L732" s="7" t="s">
        <v>579</v>
      </c>
      <c r="M732" s="7" t="s">
        <v>624</v>
      </c>
      <c r="N732" s="7" t="s">
        <v>585</v>
      </c>
    </row>
    <row r="733">
      <c r="A733" s="4">
        <v>46007.0</v>
      </c>
      <c r="B733" s="7" t="s">
        <v>1716</v>
      </c>
      <c r="C733" s="21">
        <f>+542914661295</f>
        <v>542914661295</v>
      </c>
      <c r="D733" s="7" t="s">
        <v>1717</v>
      </c>
      <c r="E733" s="7" t="s">
        <v>577</v>
      </c>
      <c r="F733" s="14" t="s">
        <v>21</v>
      </c>
      <c r="G733" s="14" t="s">
        <v>18</v>
      </c>
      <c r="H733" s="12" t="s">
        <v>717</v>
      </c>
      <c r="I733" s="7" t="s">
        <v>1005</v>
      </c>
      <c r="K733" s="14" t="s">
        <v>578</v>
      </c>
      <c r="L733" s="7" t="s">
        <v>579</v>
      </c>
      <c r="M733" s="7" t="s">
        <v>1055</v>
      </c>
      <c r="N733" s="7" t="s">
        <v>585</v>
      </c>
    </row>
    <row r="734">
      <c r="A734" s="4">
        <v>46007.0</v>
      </c>
      <c r="B734" s="7" t="s">
        <v>1718</v>
      </c>
      <c r="C734" s="21">
        <f>+542604266376</f>
        <v>542604266376</v>
      </c>
      <c r="D734" s="7" t="s">
        <v>1719</v>
      </c>
      <c r="E734" s="14" t="s">
        <v>16</v>
      </c>
      <c r="F734" s="14" t="s">
        <v>21</v>
      </c>
      <c r="G734" s="9" t="s">
        <v>1045</v>
      </c>
      <c r="H734" s="12" t="s">
        <v>740</v>
      </c>
      <c r="I734" s="7" t="s">
        <v>1720</v>
      </c>
      <c r="K734" s="14" t="s">
        <v>578</v>
      </c>
      <c r="L734" s="7" t="s">
        <v>579</v>
      </c>
      <c r="M734" s="7" t="s">
        <v>1055</v>
      </c>
      <c r="N734" s="7" t="s">
        <v>581</v>
      </c>
    </row>
    <row r="735">
      <c r="A735" s="4">
        <v>46007.0</v>
      </c>
      <c r="B735" s="7" t="s">
        <v>1721</v>
      </c>
      <c r="C735" s="21">
        <f>+542474554842</f>
        <v>542474554842</v>
      </c>
      <c r="D735" s="7" t="s">
        <v>1722</v>
      </c>
      <c r="E735" s="14" t="s">
        <v>24</v>
      </c>
      <c r="F735" s="12" t="s">
        <v>17</v>
      </c>
      <c r="G735" s="14" t="s">
        <v>25</v>
      </c>
      <c r="H735" s="12" t="s">
        <v>717</v>
      </c>
      <c r="I735" s="7" t="s">
        <v>818</v>
      </c>
      <c r="K735" s="14" t="s">
        <v>578</v>
      </c>
      <c r="L735" s="7" t="s">
        <v>579</v>
      </c>
      <c r="M735" s="7" t="s">
        <v>580</v>
      </c>
      <c r="N735" s="7" t="s">
        <v>585</v>
      </c>
    </row>
    <row r="736">
      <c r="A736" s="4">
        <v>46007.0</v>
      </c>
      <c r="B736" s="7" t="s">
        <v>1723</v>
      </c>
      <c r="C736" s="21">
        <f>+542281412684</f>
        <v>542281412684</v>
      </c>
      <c r="D736" s="7" t="s">
        <v>1724</v>
      </c>
      <c r="E736" s="14" t="s">
        <v>16</v>
      </c>
      <c r="F736" s="14" t="s">
        <v>32</v>
      </c>
      <c r="G736" s="14" t="s">
        <v>25</v>
      </c>
      <c r="H736" s="9" t="s">
        <v>745</v>
      </c>
      <c r="I736" s="7" t="s">
        <v>947</v>
      </c>
      <c r="K736" s="14" t="s">
        <v>578</v>
      </c>
      <c r="L736" s="7" t="s">
        <v>579</v>
      </c>
      <c r="M736" s="7" t="s">
        <v>580</v>
      </c>
      <c r="N736" s="7" t="s">
        <v>585</v>
      </c>
    </row>
    <row r="737">
      <c r="A737" s="4">
        <v>46007.0</v>
      </c>
      <c r="B737" s="7" t="s">
        <v>1725</v>
      </c>
      <c r="C737" s="21">
        <f>+542966403083</f>
        <v>542966403083</v>
      </c>
      <c r="D737" s="7" t="s">
        <v>1726</v>
      </c>
      <c r="E737" s="14" t="s">
        <v>24</v>
      </c>
      <c r="F737" s="14" t="s">
        <v>21</v>
      </c>
      <c r="G737" s="14" t="s">
        <v>25</v>
      </c>
      <c r="H737" s="12" t="s">
        <v>740</v>
      </c>
      <c r="I737" s="7" t="s">
        <v>1727</v>
      </c>
      <c r="K737" s="14" t="s">
        <v>578</v>
      </c>
      <c r="L737" s="7" t="s">
        <v>579</v>
      </c>
      <c r="M737" s="7" t="s">
        <v>1055</v>
      </c>
      <c r="N737" s="7" t="s">
        <v>581</v>
      </c>
    </row>
    <row r="738">
      <c r="A738" s="4">
        <v>46007.0</v>
      </c>
      <c r="B738" s="7" t="s">
        <v>1728</v>
      </c>
      <c r="C738" s="21">
        <f>+543518070394</f>
        <v>543518070394</v>
      </c>
      <c r="D738" s="7" t="s">
        <v>1729</v>
      </c>
      <c r="E738" s="14" t="s">
        <v>24</v>
      </c>
      <c r="F738" s="14" t="s">
        <v>21</v>
      </c>
      <c r="G738" s="9" t="s">
        <v>1045</v>
      </c>
      <c r="H738" s="12" t="s">
        <v>717</v>
      </c>
      <c r="I738" s="7" t="s">
        <v>1730</v>
      </c>
      <c r="K738" s="14" t="s">
        <v>578</v>
      </c>
      <c r="L738" s="7" t="s">
        <v>579</v>
      </c>
      <c r="M738" s="7" t="s">
        <v>1055</v>
      </c>
      <c r="N738" s="7" t="s">
        <v>585</v>
      </c>
    </row>
    <row r="739">
      <c r="A739" s="4">
        <v>46008.0</v>
      </c>
      <c r="B739" s="7" t="s">
        <v>1731</v>
      </c>
      <c r="C739" s="21">
        <f>+542664226232</f>
        <v>542664226232</v>
      </c>
      <c r="D739" s="7" t="s">
        <v>1732</v>
      </c>
      <c r="E739" s="14" t="s">
        <v>24</v>
      </c>
      <c r="F739" s="14" t="s">
        <v>21</v>
      </c>
      <c r="G739" s="14" t="s">
        <v>25</v>
      </c>
      <c r="H739" s="12" t="s">
        <v>717</v>
      </c>
      <c r="I739" s="7" t="s">
        <v>1733</v>
      </c>
      <c r="K739" s="14" t="s">
        <v>578</v>
      </c>
      <c r="L739" s="7" t="s">
        <v>579</v>
      </c>
      <c r="M739" s="7" t="s">
        <v>580</v>
      </c>
      <c r="N739" s="7" t="s">
        <v>585</v>
      </c>
    </row>
    <row r="740">
      <c r="A740" s="4">
        <v>46008.0</v>
      </c>
      <c r="B740" s="7" t="s">
        <v>1734</v>
      </c>
      <c r="C740" s="21">
        <f>+5491127416175</f>
        <v>5491127416175</v>
      </c>
      <c r="D740" s="7" t="s">
        <v>1735</v>
      </c>
      <c r="E740" s="14" t="s">
        <v>16</v>
      </c>
      <c r="F740" s="14" t="s">
        <v>32</v>
      </c>
      <c r="G740" s="14" t="s">
        <v>25</v>
      </c>
      <c r="H740" s="12" t="s">
        <v>740</v>
      </c>
      <c r="I740" s="7" t="s">
        <v>1736</v>
      </c>
      <c r="K740" s="14" t="s">
        <v>578</v>
      </c>
      <c r="L740" s="7" t="s">
        <v>584</v>
      </c>
      <c r="M740" s="7" t="s">
        <v>624</v>
      </c>
      <c r="N740" s="7" t="s">
        <v>585</v>
      </c>
    </row>
    <row r="741">
      <c r="A741" s="4">
        <v>46008.0</v>
      </c>
      <c r="B741" s="7" t="s">
        <v>1737</v>
      </c>
      <c r="C741" s="21">
        <f>+542914568213</f>
        <v>542914568213</v>
      </c>
      <c r="D741" s="7" t="s">
        <v>1738</v>
      </c>
      <c r="E741" s="7" t="s">
        <v>577</v>
      </c>
      <c r="F741" s="14" t="s">
        <v>21</v>
      </c>
      <c r="G741" s="14" t="s">
        <v>25</v>
      </c>
      <c r="H741" s="12" t="s">
        <v>717</v>
      </c>
      <c r="I741" s="7" t="s">
        <v>1739</v>
      </c>
      <c r="K741" s="14" t="s">
        <v>578</v>
      </c>
      <c r="L741" s="7" t="s">
        <v>579</v>
      </c>
      <c r="M741" s="7" t="s">
        <v>580</v>
      </c>
      <c r="N741" s="7" t="s">
        <v>581</v>
      </c>
    </row>
    <row r="742">
      <c r="A742" s="4">
        <v>46008.0</v>
      </c>
      <c r="B742" s="7" t="s">
        <v>1740</v>
      </c>
      <c r="C742" s="21">
        <f>+543456441772</f>
        <v>543456441772</v>
      </c>
      <c r="D742" s="7" t="s">
        <v>1741</v>
      </c>
      <c r="E742" s="7" t="s">
        <v>577</v>
      </c>
      <c r="F742" s="14" t="s">
        <v>21</v>
      </c>
      <c r="G742" s="14" t="s">
        <v>18</v>
      </c>
      <c r="H742" s="12" t="s">
        <v>740</v>
      </c>
      <c r="I742" s="7" t="s">
        <v>1372</v>
      </c>
      <c r="K742" s="14" t="s">
        <v>578</v>
      </c>
      <c r="L742" s="7" t="s">
        <v>579</v>
      </c>
      <c r="M742" s="7" t="s">
        <v>580</v>
      </c>
      <c r="N742" s="7" t="s">
        <v>581</v>
      </c>
    </row>
    <row r="743">
      <c r="A743" s="4">
        <v>46008.0</v>
      </c>
      <c r="B743" s="7" t="s">
        <v>1742</v>
      </c>
      <c r="C743" s="21">
        <f>+543624601409</f>
        <v>543624601409</v>
      </c>
      <c r="D743" s="7" t="s">
        <v>1743</v>
      </c>
      <c r="E743" s="14" t="s">
        <v>16</v>
      </c>
      <c r="F743" s="14" t="s">
        <v>21</v>
      </c>
      <c r="G743" s="14" t="s">
        <v>25</v>
      </c>
      <c r="H743" s="12" t="s">
        <v>717</v>
      </c>
      <c r="I743" s="7" t="s">
        <v>1744</v>
      </c>
      <c r="K743" s="14" t="s">
        <v>578</v>
      </c>
      <c r="L743" s="7" t="s">
        <v>579</v>
      </c>
      <c r="M743" s="7" t="s">
        <v>580</v>
      </c>
      <c r="N743" s="7" t="s">
        <v>585</v>
      </c>
    </row>
    <row r="744">
      <c r="A744" s="4">
        <v>46008.0</v>
      </c>
      <c r="B744" s="7" t="s">
        <v>1745</v>
      </c>
      <c r="C744" s="21">
        <f>+541138902923</f>
        <v>541138902923</v>
      </c>
      <c r="D744" s="7" t="s">
        <v>1746</v>
      </c>
      <c r="E744" s="7" t="s">
        <v>577</v>
      </c>
      <c r="F744" s="14" t="s">
        <v>21</v>
      </c>
      <c r="G744" s="14" t="s">
        <v>18</v>
      </c>
      <c r="H744" s="12" t="s">
        <v>717</v>
      </c>
      <c r="I744" s="7" t="s">
        <v>1747</v>
      </c>
      <c r="K744" s="14" t="s">
        <v>578</v>
      </c>
      <c r="L744" s="7" t="s">
        <v>584</v>
      </c>
      <c r="M744" s="7" t="s">
        <v>580</v>
      </c>
      <c r="N744" s="7" t="s">
        <v>581</v>
      </c>
    </row>
    <row r="745">
      <c r="A745" s="4">
        <v>46008.0</v>
      </c>
      <c r="B745" s="7" t="s">
        <v>1748</v>
      </c>
      <c r="C745" s="21">
        <f>+543517375308</f>
        <v>543517375308</v>
      </c>
      <c r="D745" s="7" t="s">
        <v>1749</v>
      </c>
      <c r="E745" s="14" t="s">
        <v>16</v>
      </c>
      <c r="F745" s="14" t="s">
        <v>21</v>
      </c>
      <c r="G745" s="14" t="s">
        <v>25</v>
      </c>
      <c r="H745" s="12" t="s">
        <v>740</v>
      </c>
      <c r="I745" s="7" t="s">
        <v>1583</v>
      </c>
      <c r="K745" s="14" t="s">
        <v>578</v>
      </c>
      <c r="L745" s="7" t="s">
        <v>579</v>
      </c>
      <c r="M745" s="7" t="s">
        <v>624</v>
      </c>
      <c r="N745" s="7" t="s">
        <v>585</v>
      </c>
    </row>
    <row r="746">
      <c r="A746" s="4">
        <v>46008.0</v>
      </c>
      <c r="B746" s="7" t="s">
        <v>1750</v>
      </c>
      <c r="C746" s="21">
        <f>+5491166890712</f>
        <v>5491166890712</v>
      </c>
      <c r="D746" s="7" t="s">
        <v>1751</v>
      </c>
      <c r="E746" s="14" t="s">
        <v>24</v>
      </c>
      <c r="F746" s="12" t="s">
        <v>17</v>
      </c>
      <c r="G746" s="14" t="s">
        <v>25</v>
      </c>
      <c r="H746" s="12" t="s">
        <v>717</v>
      </c>
      <c r="I746" s="7" t="s">
        <v>1206</v>
      </c>
      <c r="K746" s="14" t="s">
        <v>578</v>
      </c>
      <c r="L746" s="7" t="s">
        <v>579</v>
      </c>
      <c r="M746" s="7" t="s">
        <v>624</v>
      </c>
      <c r="N746" s="7" t="s">
        <v>581</v>
      </c>
    </row>
    <row r="747">
      <c r="A747" s="4">
        <v>46009.0</v>
      </c>
      <c r="B747" s="7" t="s">
        <v>1752</v>
      </c>
      <c r="C747" s="21">
        <f>+543482636991</f>
        <v>543482636991</v>
      </c>
      <c r="D747" s="7" t="s">
        <v>1753</v>
      </c>
      <c r="E747" s="7" t="s">
        <v>577</v>
      </c>
      <c r="F747" s="14" t="s">
        <v>21</v>
      </c>
      <c r="G747" s="14" t="s">
        <v>25</v>
      </c>
      <c r="H747" s="12" t="s">
        <v>717</v>
      </c>
      <c r="I747" s="7" t="s">
        <v>1754</v>
      </c>
      <c r="K747" s="14" t="s">
        <v>578</v>
      </c>
      <c r="L747" s="7" t="s">
        <v>579</v>
      </c>
      <c r="M747" s="7" t="s">
        <v>580</v>
      </c>
      <c r="N747" s="7" t="s">
        <v>585</v>
      </c>
    </row>
    <row r="748">
      <c r="A748" s="4">
        <v>46009.0</v>
      </c>
      <c r="B748" s="7" t="s">
        <v>1755</v>
      </c>
      <c r="C748" s="21">
        <f>+543329561602</f>
        <v>543329561602</v>
      </c>
      <c r="D748" s="7" t="s">
        <v>1756</v>
      </c>
      <c r="E748" s="7" t="s">
        <v>577</v>
      </c>
      <c r="F748" s="14" t="s">
        <v>21</v>
      </c>
      <c r="G748" s="14" t="s">
        <v>18</v>
      </c>
      <c r="H748" s="12" t="s">
        <v>717</v>
      </c>
      <c r="I748" s="7" t="s">
        <v>1177</v>
      </c>
      <c r="K748" s="14" t="s">
        <v>578</v>
      </c>
      <c r="L748" s="7" t="s">
        <v>579</v>
      </c>
      <c r="M748" s="7" t="s">
        <v>580</v>
      </c>
      <c r="N748" s="7" t="s">
        <v>585</v>
      </c>
    </row>
    <row r="749">
      <c r="A749" s="4">
        <v>46009.0</v>
      </c>
      <c r="B749" s="7" t="s">
        <v>1757</v>
      </c>
      <c r="C749" s="21">
        <f>+543467440488</f>
        <v>543467440488</v>
      </c>
      <c r="D749" s="7" t="s">
        <v>1758</v>
      </c>
      <c r="E749" s="14" t="s">
        <v>24</v>
      </c>
      <c r="F749" s="14" t="s">
        <v>21</v>
      </c>
      <c r="G749" s="14" t="s">
        <v>18</v>
      </c>
      <c r="H749" s="12" t="s">
        <v>717</v>
      </c>
      <c r="I749" s="7" t="s">
        <v>1759</v>
      </c>
      <c r="K749" s="14" t="s">
        <v>578</v>
      </c>
      <c r="L749" s="7" t="s">
        <v>579</v>
      </c>
      <c r="M749" s="7" t="s">
        <v>580</v>
      </c>
      <c r="N749" s="7" t="s">
        <v>585</v>
      </c>
    </row>
    <row r="750">
      <c r="A750" s="4">
        <v>46010.0</v>
      </c>
      <c r="B750" s="7" t="s">
        <v>1760</v>
      </c>
      <c r="C750" s="21">
        <f>+543535089696</f>
        <v>543535089696</v>
      </c>
      <c r="D750" s="7" t="s">
        <v>1761</v>
      </c>
      <c r="E750" s="7" t="s">
        <v>577</v>
      </c>
      <c r="F750" s="12" t="s">
        <v>17</v>
      </c>
      <c r="G750" s="14" t="s">
        <v>25</v>
      </c>
      <c r="H750" s="9" t="s">
        <v>745</v>
      </c>
      <c r="I750" s="7" t="s">
        <v>1762</v>
      </c>
      <c r="K750" s="14" t="s">
        <v>578</v>
      </c>
      <c r="L750" s="7" t="s">
        <v>579</v>
      </c>
      <c r="M750" s="7" t="s">
        <v>580</v>
      </c>
      <c r="N750" s="7" t="s">
        <v>581</v>
      </c>
    </row>
    <row r="751">
      <c r="A751" s="4">
        <v>46010.0</v>
      </c>
      <c r="B751" s="7" t="s">
        <v>1763</v>
      </c>
      <c r="C751" s="21">
        <f>+541167452369</f>
        <v>541167452369</v>
      </c>
      <c r="D751" s="7" t="s">
        <v>1764</v>
      </c>
      <c r="E751" s="14" t="s">
        <v>24</v>
      </c>
      <c r="F751" s="14" t="s">
        <v>21</v>
      </c>
      <c r="G751" s="9" t="s">
        <v>1045</v>
      </c>
      <c r="H751" s="12" t="s">
        <v>717</v>
      </c>
      <c r="I751" s="7" t="s">
        <v>879</v>
      </c>
      <c r="K751" s="14" t="s">
        <v>578</v>
      </c>
      <c r="L751" s="7" t="s">
        <v>584</v>
      </c>
      <c r="M751" s="7" t="s">
        <v>580</v>
      </c>
      <c r="N751" s="7" t="s">
        <v>585</v>
      </c>
    </row>
    <row r="752">
      <c r="A752" s="4">
        <v>46010.0</v>
      </c>
      <c r="B752" s="7" t="s">
        <v>1765</v>
      </c>
      <c r="C752" s="21">
        <f>+542268422098</f>
        <v>542268422098</v>
      </c>
      <c r="D752" s="7" t="s">
        <v>1766</v>
      </c>
      <c r="E752" s="7" t="s">
        <v>577</v>
      </c>
      <c r="F752" s="14" t="s">
        <v>21</v>
      </c>
      <c r="G752" s="14" t="s">
        <v>25</v>
      </c>
      <c r="H752" s="9" t="s">
        <v>745</v>
      </c>
      <c r="I752" s="7" t="s">
        <v>756</v>
      </c>
      <c r="K752" s="14" t="s">
        <v>578</v>
      </c>
      <c r="L752" s="7" t="s">
        <v>579</v>
      </c>
      <c r="M752" s="7" t="s">
        <v>580</v>
      </c>
      <c r="N752" s="7" t="s">
        <v>581</v>
      </c>
    </row>
    <row r="753">
      <c r="A753" s="4">
        <v>46010.0</v>
      </c>
      <c r="B753" s="7" t="s">
        <v>1767</v>
      </c>
      <c r="C753" s="21">
        <f>+541149361014</f>
        <v>541149361014</v>
      </c>
      <c r="D753" s="7" t="s">
        <v>1768</v>
      </c>
      <c r="E753" s="14" t="s">
        <v>16</v>
      </c>
      <c r="F753" s="14" t="s">
        <v>21</v>
      </c>
      <c r="G753" s="14" t="s">
        <v>25</v>
      </c>
      <c r="H753" s="12" t="s">
        <v>717</v>
      </c>
      <c r="I753" s="7" t="s">
        <v>1769</v>
      </c>
      <c r="K753" s="14" t="s">
        <v>578</v>
      </c>
      <c r="L753" s="7" t="s">
        <v>584</v>
      </c>
      <c r="M753" s="7" t="s">
        <v>580</v>
      </c>
      <c r="N753" s="7" t="s">
        <v>585</v>
      </c>
    </row>
    <row r="754">
      <c r="A754" s="4">
        <v>46010.0</v>
      </c>
      <c r="B754" s="7" t="s">
        <v>1770</v>
      </c>
      <c r="C754" s="21">
        <f>+543512437285</f>
        <v>543512437285</v>
      </c>
      <c r="D754" s="7" t="s">
        <v>1771</v>
      </c>
      <c r="E754" s="14" t="s">
        <v>24</v>
      </c>
      <c r="F754" s="14" t="s">
        <v>21</v>
      </c>
      <c r="G754" s="14" t="s">
        <v>25</v>
      </c>
      <c r="H754" s="12" t="s">
        <v>717</v>
      </c>
      <c r="I754" s="7" t="s">
        <v>992</v>
      </c>
      <c r="K754" s="14" t="s">
        <v>578</v>
      </c>
      <c r="L754" s="7" t="s">
        <v>579</v>
      </c>
      <c r="M754" s="7" t="s">
        <v>580</v>
      </c>
      <c r="N754" s="7" t="s">
        <v>585</v>
      </c>
    </row>
    <row r="755">
      <c r="A755" s="4">
        <v>46011.0</v>
      </c>
      <c r="B755" s="7" t="s">
        <v>1772</v>
      </c>
      <c r="C755" s="23">
        <v>1.134613291E9</v>
      </c>
      <c r="D755" s="7" t="s">
        <v>1773</v>
      </c>
      <c r="E755" s="14" t="s">
        <v>24</v>
      </c>
      <c r="F755" s="12" t="s">
        <v>17</v>
      </c>
      <c r="G755" s="14" t="s">
        <v>25</v>
      </c>
      <c r="H755" s="9" t="s">
        <v>727</v>
      </c>
      <c r="I755" s="7" t="s">
        <v>1774</v>
      </c>
      <c r="K755" s="14" t="s">
        <v>578</v>
      </c>
      <c r="L755" s="7" t="s">
        <v>584</v>
      </c>
      <c r="M755" s="5" t="s">
        <v>624</v>
      </c>
      <c r="N755" s="7" t="s">
        <v>585</v>
      </c>
    </row>
    <row r="756">
      <c r="A756" s="4">
        <v>46011.0</v>
      </c>
      <c r="B756" s="7" t="s">
        <v>1775</v>
      </c>
      <c r="C756" s="21">
        <f>+543463407619</f>
        <v>543463407619</v>
      </c>
      <c r="D756" s="7" t="s">
        <v>1776</v>
      </c>
      <c r="E756" s="14" t="s">
        <v>16</v>
      </c>
      <c r="F756" s="12" t="s">
        <v>17</v>
      </c>
      <c r="G756" s="14" t="s">
        <v>18</v>
      </c>
      <c r="H756" s="9" t="s">
        <v>745</v>
      </c>
      <c r="I756" s="7" t="s">
        <v>734</v>
      </c>
      <c r="K756" s="14" t="s">
        <v>578</v>
      </c>
      <c r="L756" s="7" t="s">
        <v>579</v>
      </c>
      <c r="M756" s="5" t="s">
        <v>580</v>
      </c>
      <c r="N756" s="7" t="s">
        <v>585</v>
      </c>
    </row>
    <row r="757">
      <c r="A757" s="4">
        <v>46012.0</v>
      </c>
      <c r="B757" s="7" t="s">
        <v>1777</v>
      </c>
      <c r="C757" s="22">
        <f>+541160016672</f>
        <v>541160016672</v>
      </c>
      <c r="D757" s="25" t="s">
        <v>1778</v>
      </c>
      <c r="E757" s="14" t="s">
        <v>24</v>
      </c>
      <c r="F757" s="12" t="s">
        <v>17</v>
      </c>
      <c r="G757" s="14" t="s">
        <v>25</v>
      </c>
      <c r="H757" s="12" t="s">
        <v>740</v>
      </c>
      <c r="I757" s="7" t="s">
        <v>1779</v>
      </c>
      <c r="K757" s="14" t="s">
        <v>578</v>
      </c>
      <c r="L757" s="7" t="s">
        <v>584</v>
      </c>
      <c r="M757" s="7" t="s">
        <v>1055</v>
      </c>
      <c r="N757" s="7" t="s">
        <v>585</v>
      </c>
    </row>
    <row r="758">
      <c r="A758" s="4">
        <v>46012.0</v>
      </c>
      <c r="B758" s="7" t="s">
        <v>1780</v>
      </c>
      <c r="C758" s="22">
        <f>+541168606629</f>
        <v>541168606629</v>
      </c>
      <c r="D758" s="7" t="s">
        <v>1781</v>
      </c>
      <c r="E758" s="14" t="s">
        <v>24</v>
      </c>
      <c r="F758" s="14" t="s">
        <v>21</v>
      </c>
      <c r="G758" s="14" t="s">
        <v>25</v>
      </c>
      <c r="H758" s="7" t="s">
        <v>1782</v>
      </c>
      <c r="I758" s="7" t="s">
        <v>728</v>
      </c>
      <c r="J758" s="5" t="s">
        <v>1783</v>
      </c>
      <c r="K758" s="14" t="s">
        <v>578</v>
      </c>
      <c r="L758" s="7" t="s">
        <v>584</v>
      </c>
      <c r="M758" s="7" t="s">
        <v>1055</v>
      </c>
      <c r="N758" s="7" t="s">
        <v>581</v>
      </c>
    </row>
    <row r="759">
      <c r="A759" s="4">
        <v>46012.0</v>
      </c>
      <c r="B759" s="7" t="s">
        <v>1784</v>
      </c>
      <c r="C759" s="22">
        <f>+543825521960</f>
        <v>543825521960</v>
      </c>
      <c r="D759" s="7" t="s">
        <v>1785</v>
      </c>
      <c r="E759" s="7" t="s">
        <v>577</v>
      </c>
      <c r="F759" s="14" t="s">
        <v>21</v>
      </c>
      <c r="G759" s="14" t="s">
        <v>25</v>
      </c>
      <c r="H759" s="12" t="s">
        <v>740</v>
      </c>
      <c r="I759" s="7">
        <v>0.0</v>
      </c>
      <c r="J759" s="5" t="s">
        <v>1783</v>
      </c>
      <c r="K759" s="14" t="s">
        <v>578</v>
      </c>
      <c r="L759" s="7" t="s">
        <v>579</v>
      </c>
      <c r="M759" s="7" t="s">
        <v>1055</v>
      </c>
      <c r="N759" s="7" t="s">
        <v>585</v>
      </c>
    </row>
    <row r="760">
      <c r="A760" s="4">
        <v>46012.0</v>
      </c>
      <c r="B760" s="7" t="s">
        <v>1786</v>
      </c>
      <c r="C760" s="22">
        <f>+543571593031</f>
        <v>543571593031</v>
      </c>
      <c r="D760" s="7" t="s">
        <v>1787</v>
      </c>
      <c r="E760" s="14" t="s">
        <v>24</v>
      </c>
      <c r="F760" s="14" t="s">
        <v>21</v>
      </c>
      <c r="G760" s="14" t="s">
        <v>25</v>
      </c>
      <c r="H760" s="12" t="s">
        <v>740</v>
      </c>
      <c r="I760" s="7" t="s">
        <v>718</v>
      </c>
      <c r="K760" s="14" t="s">
        <v>578</v>
      </c>
      <c r="L760" s="7" t="s">
        <v>579</v>
      </c>
      <c r="M760" s="7" t="s">
        <v>1055</v>
      </c>
      <c r="N760" s="7" t="s">
        <v>581</v>
      </c>
    </row>
    <row r="761">
      <c r="A761" s="4">
        <v>46012.0</v>
      </c>
      <c r="B761" s="7" t="s">
        <v>1788</v>
      </c>
      <c r="C761" s="22">
        <f>+542984702179</f>
        <v>542984702179</v>
      </c>
      <c r="D761" s="7" t="s">
        <v>1789</v>
      </c>
      <c r="E761" s="14" t="s">
        <v>16</v>
      </c>
      <c r="F761" s="14" t="s">
        <v>21</v>
      </c>
      <c r="G761" s="14" t="s">
        <v>25</v>
      </c>
      <c r="H761" s="12" t="s">
        <v>740</v>
      </c>
      <c r="I761" s="7" t="s">
        <v>1790</v>
      </c>
      <c r="J761" s="5" t="s">
        <v>1791</v>
      </c>
      <c r="K761" s="14" t="s">
        <v>578</v>
      </c>
      <c r="L761" s="7" t="s">
        <v>579</v>
      </c>
      <c r="M761" s="7" t="s">
        <v>1055</v>
      </c>
      <c r="N761" s="7" t="s">
        <v>581</v>
      </c>
    </row>
    <row r="762">
      <c r="A762" s="4">
        <v>46012.0</v>
      </c>
      <c r="B762" s="7" t="s">
        <v>1792</v>
      </c>
      <c r="C762" s="22">
        <f>+542494064163</f>
        <v>542494064163</v>
      </c>
      <c r="D762" s="7" t="s">
        <v>1793</v>
      </c>
      <c r="E762" s="14" t="s">
        <v>24</v>
      </c>
      <c r="F762" s="14" t="s">
        <v>21</v>
      </c>
      <c r="G762" s="14" t="s">
        <v>25</v>
      </c>
      <c r="H762" s="12" t="s">
        <v>717</v>
      </c>
      <c r="I762" s="7" t="s">
        <v>1794</v>
      </c>
      <c r="K762" s="14" t="s">
        <v>578</v>
      </c>
      <c r="L762" s="7" t="s">
        <v>579</v>
      </c>
      <c r="M762" s="7" t="s">
        <v>1055</v>
      </c>
      <c r="N762" s="7" t="s">
        <v>581</v>
      </c>
    </row>
    <row r="763">
      <c r="A763" s="4">
        <v>46012.0</v>
      </c>
      <c r="B763" s="7" t="s">
        <v>1795</v>
      </c>
      <c r="C763" s="23">
        <v>2.617025892E9</v>
      </c>
      <c r="D763" s="7" t="s">
        <v>1796</v>
      </c>
      <c r="E763" s="14" t="s">
        <v>24</v>
      </c>
      <c r="F763" s="14" t="s">
        <v>21</v>
      </c>
      <c r="G763" s="14" t="s">
        <v>25</v>
      </c>
      <c r="H763" s="12" t="s">
        <v>717</v>
      </c>
      <c r="I763" s="7" t="s">
        <v>1797</v>
      </c>
      <c r="J763" s="5" t="s">
        <v>1798</v>
      </c>
      <c r="K763" s="14" t="s">
        <v>578</v>
      </c>
      <c r="L763" s="7" t="s">
        <v>579</v>
      </c>
      <c r="M763" s="7" t="s">
        <v>1055</v>
      </c>
      <c r="N763" s="7" t="s">
        <v>585</v>
      </c>
    </row>
    <row r="764">
      <c r="A764" s="4">
        <v>46012.0</v>
      </c>
      <c r="B764" s="7" t="s">
        <v>1799</v>
      </c>
      <c r="C764" s="22">
        <f>+543585416033</f>
        <v>543585416033</v>
      </c>
      <c r="D764" s="7" t="s">
        <v>1800</v>
      </c>
      <c r="E764" s="7" t="s">
        <v>577</v>
      </c>
      <c r="F764" s="14" t="s">
        <v>21</v>
      </c>
      <c r="G764" s="14" t="s">
        <v>25</v>
      </c>
      <c r="H764" s="9" t="s">
        <v>727</v>
      </c>
      <c r="I764" s="7" t="s">
        <v>1801</v>
      </c>
      <c r="K764" s="14" t="s">
        <v>578</v>
      </c>
      <c r="L764" s="7" t="s">
        <v>579</v>
      </c>
      <c r="M764" s="7" t="s">
        <v>1055</v>
      </c>
      <c r="N764" s="7" t="s">
        <v>585</v>
      </c>
    </row>
    <row r="765">
      <c r="A765" s="4">
        <v>46012.0</v>
      </c>
      <c r="B765" s="7" t="s">
        <v>1802</v>
      </c>
      <c r="C765" s="22">
        <f>+5492923439923</f>
        <v>5492923439923</v>
      </c>
      <c r="D765" s="7" t="s">
        <v>1803</v>
      </c>
      <c r="E765" s="7" t="s">
        <v>577</v>
      </c>
      <c r="F765" s="14" t="s">
        <v>21</v>
      </c>
      <c r="G765" s="14" t="s">
        <v>25</v>
      </c>
      <c r="H765" s="12" t="s">
        <v>717</v>
      </c>
      <c r="I765" s="7" t="s">
        <v>1804</v>
      </c>
      <c r="K765" s="14" t="s">
        <v>578</v>
      </c>
      <c r="L765" s="7" t="s">
        <v>579</v>
      </c>
      <c r="M765" s="7" t="s">
        <v>1055</v>
      </c>
      <c r="N765" s="7" t="s">
        <v>585</v>
      </c>
    </row>
    <row r="766">
      <c r="A766" s="4">
        <v>46012.0</v>
      </c>
      <c r="B766" s="7" t="s">
        <v>1805</v>
      </c>
      <c r="C766" s="22">
        <f>+541130951128</f>
        <v>541130951128</v>
      </c>
      <c r="D766" s="7" t="s">
        <v>1806</v>
      </c>
      <c r="E766" s="14" t="s">
        <v>16</v>
      </c>
      <c r="F766" s="14" t="s">
        <v>21</v>
      </c>
      <c r="G766" s="14" t="s">
        <v>18</v>
      </c>
      <c r="H766" s="12" t="s">
        <v>740</v>
      </c>
      <c r="I766" s="7" t="s">
        <v>734</v>
      </c>
      <c r="K766" s="14" t="s">
        <v>578</v>
      </c>
      <c r="L766" s="7" t="s">
        <v>584</v>
      </c>
      <c r="M766" s="7" t="s">
        <v>580</v>
      </c>
      <c r="N766" s="7" t="s">
        <v>581</v>
      </c>
    </row>
    <row r="767">
      <c r="A767" s="4">
        <v>46012.0</v>
      </c>
      <c r="B767" s="7" t="s">
        <v>1807</v>
      </c>
      <c r="C767" s="22">
        <f>+543456023272</f>
        <v>543456023272</v>
      </c>
      <c r="D767" s="7" t="s">
        <v>1808</v>
      </c>
      <c r="E767" s="7" t="s">
        <v>577</v>
      </c>
      <c r="F767" s="12" t="s">
        <v>17</v>
      </c>
      <c r="G767" s="14" t="s">
        <v>25</v>
      </c>
      <c r="H767" s="9" t="s">
        <v>745</v>
      </c>
      <c r="I767" s="7" t="s">
        <v>992</v>
      </c>
      <c r="K767" s="14" t="s">
        <v>578</v>
      </c>
      <c r="L767" s="7" t="s">
        <v>579</v>
      </c>
      <c r="M767" s="7" t="s">
        <v>1055</v>
      </c>
      <c r="N767" s="7" t="s">
        <v>585</v>
      </c>
    </row>
    <row r="768">
      <c r="A768" s="4">
        <v>46012.0</v>
      </c>
      <c r="B768" s="7" t="s">
        <v>1809</v>
      </c>
      <c r="C768" s="22">
        <f>+542281509340</f>
        <v>542281509340</v>
      </c>
      <c r="D768" s="7" t="s">
        <v>1810</v>
      </c>
      <c r="E768" s="7" t="s">
        <v>577</v>
      </c>
      <c r="F768" s="14" t="s">
        <v>21</v>
      </c>
      <c r="G768" s="14" t="s">
        <v>25</v>
      </c>
      <c r="H768" s="12" t="s">
        <v>717</v>
      </c>
      <c r="I768" s="7" t="s">
        <v>1811</v>
      </c>
      <c r="K768" s="14" t="s">
        <v>578</v>
      </c>
      <c r="L768" s="7" t="s">
        <v>579</v>
      </c>
      <c r="M768" s="7" t="s">
        <v>1055</v>
      </c>
      <c r="N768" s="7" t="s">
        <v>585</v>
      </c>
    </row>
    <row r="769">
      <c r="A769" s="4">
        <v>46012.0</v>
      </c>
      <c r="B769" s="7" t="s">
        <v>1812</v>
      </c>
      <c r="C769" s="22">
        <f>+542645504256</f>
        <v>542645504256</v>
      </c>
      <c r="D769" s="7" t="s">
        <v>1813</v>
      </c>
      <c r="E769" s="7" t="s">
        <v>577</v>
      </c>
      <c r="F769" s="14" t="s">
        <v>21</v>
      </c>
      <c r="G769" s="14" t="s">
        <v>25</v>
      </c>
      <c r="H769" s="12" t="s">
        <v>717</v>
      </c>
      <c r="I769" s="7" t="s">
        <v>1814</v>
      </c>
      <c r="K769" s="14" t="s">
        <v>578</v>
      </c>
      <c r="L769" s="7" t="s">
        <v>579</v>
      </c>
      <c r="M769" s="7" t="s">
        <v>1055</v>
      </c>
      <c r="N769" s="7" t="s">
        <v>585</v>
      </c>
    </row>
    <row r="770">
      <c r="A770" s="4">
        <v>46012.0</v>
      </c>
      <c r="B770" s="26" t="s">
        <v>1815</v>
      </c>
      <c r="C770" s="22">
        <f>+541165562302</f>
        <v>541165562302</v>
      </c>
      <c r="D770" s="7" t="s">
        <v>1816</v>
      </c>
      <c r="E770" s="14" t="s">
        <v>24</v>
      </c>
      <c r="F770" s="14" t="s">
        <v>21</v>
      </c>
      <c r="G770" s="14" t="s">
        <v>18</v>
      </c>
      <c r="H770" s="9" t="s">
        <v>727</v>
      </c>
      <c r="I770" s="7" t="s">
        <v>1817</v>
      </c>
      <c r="K770" s="14" t="s">
        <v>578</v>
      </c>
      <c r="L770" s="7" t="s">
        <v>584</v>
      </c>
      <c r="M770" s="7" t="s">
        <v>1055</v>
      </c>
      <c r="N770" s="7" t="s">
        <v>581</v>
      </c>
    </row>
    <row r="771">
      <c r="A771" s="4">
        <v>46012.0</v>
      </c>
      <c r="B771" s="7" t="s">
        <v>1818</v>
      </c>
      <c r="C771" s="22">
        <f>+541127156675</f>
        <v>541127156675</v>
      </c>
      <c r="D771" s="7" t="s">
        <v>1819</v>
      </c>
      <c r="E771" s="14" t="s">
        <v>24</v>
      </c>
      <c r="F771" s="14" t="s">
        <v>21</v>
      </c>
      <c r="G771" s="14" t="s">
        <v>25</v>
      </c>
      <c r="H771" s="12" t="s">
        <v>717</v>
      </c>
      <c r="I771" s="7" t="s">
        <v>1820</v>
      </c>
      <c r="K771" s="14" t="s">
        <v>578</v>
      </c>
      <c r="L771" s="7" t="s">
        <v>584</v>
      </c>
      <c r="M771" s="7" t="s">
        <v>1055</v>
      </c>
      <c r="N771" s="7" t="s">
        <v>581</v>
      </c>
    </row>
    <row r="772">
      <c r="A772" s="4">
        <v>46013.0</v>
      </c>
      <c r="B772" s="7" t="s">
        <v>1821</v>
      </c>
      <c r="C772" s="21">
        <f>+543537301313</f>
        <v>543537301313</v>
      </c>
      <c r="D772" s="7" t="s">
        <v>1822</v>
      </c>
      <c r="E772" s="14" t="s">
        <v>24</v>
      </c>
      <c r="F772" s="12" t="s">
        <v>17</v>
      </c>
      <c r="G772" s="14" t="s">
        <v>25</v>
      </c>
      <c r="H772" s="12" t="s">
        <v>740</v>
      </c>
      <c r="I772" s="7" t="s">
        <v>1088</v>
      </c>
      <c r="J772" s="5" t="s">
        <v>1783</v>
      </c>
      <c r="K772" s="14" t="s">
        <v>578</v>
      </c>
      <c r="L772" s="7" t="s">
        <v>579</v>
      </c>
      <c r="M772" s="7" t="s">
        <v>1055</v>
      </c>
      <c r="N772" s="7" t="s">
        <v>585</v>
      </c>
    </row>
    <row r="773">
      <c r="A773" s="18">
        <v>46013.0</v>
      </c>
      <c r="B773" s="19" t="s">
        <v>465</v>
      </c>
      <c r="C773" s="20">
        <f>+543512155656</f>
        <v>543512155656</v>
      </c>
      <c r="D773" s="19" t="s">
        <v>1823</v>
      </c>
      <c r="E773" s="14" t="s">
        <v>24</v>
      </c>
      <c r="F773" s="14" t="s">
        <v>21</v>
      </c>
      <c r="G773" s="14" t="s">
        <v>25</v>
      </c>
      <c r="H773" s="12" t="s">
        <v>717</v>
      </c>
      <c r="I773" s="19" t="s">
        <v>718</v>
      </c>
      <c r="J773" s="15"/>
      <c r="K773" s="14" t="s">
        <v>578</v>
      </c>
      <c r="L773" s="19" t="s">
        <v>579</v>
      </c>
      <c r="M773" s="19" t="s">
        <v>1055</v>
      </c>
      <c r="N773" s="19" t="s">
        <v>585</v>
      </c>
    </row>
    <row r="774">
      <c r="A774" s="18">
        <v>46013.0</v>
      </c>
      <c r="B774" s="19" t="s">
        <v>1824</v>
      </c>
      <c r="C774" s="20">
        <f>+541168847980</f>
        <v>541168847980</v>
      </c>
      <c r="D774" s="19" t="s">
        <v>1825</v>
      </c>
      <c r="E774" s="14" t="s">
        <v>24</v>
      </c>
      <c r="F774" s="12" t="s">
        <v>17</v>
      </c>
      <c r="G774" s="14" t="s">
        <v>25</v>
      </c>
      <c r="H774" s="12" t="s">
        <v>740</v>
      </c>
      <c r="I774" s="19" t="s">
        <v>1318</v>
      </c>
      <c r="J774" s="5" t="s">
        <v>1783</v>
      </c>
      <c r="K774" s="14" t="s">
        <v>578</v>
      </c>
      <c r="L774" s="19" t="s">
        <v>584</v>
      </c>
      <c r="M774" s="19" t="s">
        <v>1055</v>
      </c>
      <c r="N774" s="19" t="s">
        <v>581</v>
      </c>
    </row>
    <row r="775">
      <c r="A775" s="18">
        <v>46013.0</v>
      </c>
      <c r="B775" s="19" t="s">
        <v>1826</v>
      </c>
      <c r="C775" s="20">
        <f>+541171574382</f>
        <v>541171574382</v>
      </c>
      <c r="D775" s="19" t="s">
        <v>1827</v>
      </c>
      <c r="E775" s="14" t="s">
        <v>24</v>
      </c>
      <c r="F775" s="14" t="s">
        <v>21</v>
      </c>
      <c r="G775" s="12" t="s">
        <v>1045</v>
      </c>
      <c r="H775" s="12" t="s">
        <v>717</v>
      </c>
      <c r="I775" s="19" t="s">
        <v>1828</v>
      </c>
      <c r="J775" s="15"/>
      <c r="K775" s="14" t="s">
        <v>578</v>
      </c>
      <c r="L775" s="19" t="s">
        <v>584</v>
      </c>
      <c r="M775" s="19" t="s">
        <v>1055</v>
      </c>
      <c r="N775" s="19" t="s">
        <v>581</v>
      </c>
    </row>
    <row r="776">
      <c r="A776" s="18">
        <v>46013.0</v>
      </c>
      <c r="B776" s="19" t="s">
        <v>1829</v>
      </c>
      <c r="C776" s="24">
        <v>3.416641016E9</v>
      </c>
      <c r="D776" s="19" t="s">
        <v>1830</v>
      </c>
      <c r="E776" s="14" t="s">
        <v>24</v>
      </c>
      <c r="F776" s="14" t="s">
        <v>21</v>
      </c>
      <c r="G776" s="14" t="s">
        <v>18</v>
      </c>
      <c r="H776" s="12" t="s">
        <v>717</v>
      </c>
      <c r="I776" s="19" t="s">
        <v>1831</v>
      </c>
      <c r="J776" s="5" t="s">
        <v>1783</v>
      </c>
      <c r="K776" s="14" t="s">
        <v>578</v>
      </c>
      <c r="L776" s="19" t="s">
        <v>579</v>
      </c>
      <c r="M776" s="19" t="s">
        <v>624</v>
      </c>
      <c r="N776" s="19" t="s">
        <v>585</v>
      </c>
    </row>
    <row r="777">
      <c r="A777" s="18">
        <v>46013.0</v>
      </c>
      <c r="B777" s="19" t="s">
        <v>1832</v>
      </c>
      <c r="C777" s="20">
        <f>+542644174814</f>
        <v>542644174814</v>
      </c>
      <c r="D777" s="19" t="s">
        <v>1833</v>
      </c>
      <c r="E777" s="14" t="s">
        <v>24</v>
      </c>
      <c r="F777" s="14" t="s">
        <v>21</v>
      </c>
      <c r="G777" s="14" t="s">
        <v>25</v>
      </c>
      <c r="H777" s="12" t="s">
        <v>740</v>
      </c>
      <c r="I777" s="19" t="s">
        <v>756</v>
      </c>
      <c r="J777" s="15"/>
      <c r="K777" s="14" t="s">
        <v>578</v>
      </c>
      <c r="L777" s="19" t="s">
        <v>579</v>
      </c>
      <c r="M777" s="19" t="s">
        <v>624</v>
      </c>
      <c r="N777" s="19" t="s">
        <v>581</v>
      </c>
    </row>
    <row r="778">
      <c r="A778" s="18">
        <v>46013.0</v>
      </c>
      <c r="B778" s="19" t="s">
        <v>1834</v>
      </c>
      <c r="C778" s="20">
        <f>+5492915109540</f>
        <v>5492915109540</v>
      </c>
      <c r="D778" s="19" t="s">
        <v>1835</v>
      </c>
      <c r="E778" s="14" t="s">
        <v>16</v>
      </c>
      <c r="F778" s="12" t="s">
        <v>17</v>
      </c>
      <c r="G778" s="14" t="s">
        <v>25</v>
      </c>
      <c r="H778" s="12" t="s">
        <v>717</v>
      </c>
      <c r="I778" s="19" t="s">
        <v>756</v>
      </c>
      <c r="J778" s="15"/>
      <c r="K778" s="14" t="s">
        <v>578</v>
      </c>
      <c r="L778" s="19" t="s">
        <v>579</v>
      </c>
      <c r="M778" s="19" t="s">
        <v>624</v>
      </c>
      <c r="N778" s="19" t="s">
        <v>581</v>
      </c>
      <c r="O778" s="15"/>
      <c r="P778" s="15"/>
      <c r="Q778" s="15"/>
    </row>
    <row r="779">
      <c r="A779" s="18">
        <v>46014.0</v>
      </c>
      <c r="B779" s="19" t="s">
        <v>1836</v>
      </c>
      <c r="C779" s="20">
        <f>+543417190754</f>
        <v>543417190754</v>
      </c>
      <c r="D779" s="19" t="s">
        <v>1837</v>
      </c>
      <c r="E779" s="14" t="s">
        <v>24</v>
      </c>
      <c r="F779" s="14" t="s">
        <v>21</v>
      </c>
      <c r="G779" s="14" t="s">
        <v>25</v>
      </c>
      <c r="H779" s="12" t="s">
        <v>717</v>
      </c>
      <c r="I779" s="19" t="s">
        <v>1838</v>
      </c>
      <c r="J779" s="5" t="s">
        <v>1783</v>
      </c>
      <c r="K779" s="14" t="s">
        <v>578</v>
      </c>
      <c r="L779" s="19" t="s">
        <v>579</v>
      </c>
      <c r="M779" s="19" t="s">
        <v>1055</v>
      </c>
      <c r="N779" s="19" t="s">
        <v>585</v>
      </c>
      <c r="O779" s="15"/>
      <c r="P779" s="15"/>
      <c r="Q779" s="15"/>
    </row>
    <row r="780">
      <c r="A780" s="18">
        <v>46014.0</v>
      </c>
      <c r="B780" s="19" t="s">
        <v>1839</v>
      </c>
      <c r="C780" s="24">
        <v>2.916481519E9</v>
      </c>
      <c r="D780" s="19" t="s">
        <v>1840</v>
      </c>
      <c r="E780" s="19" t="s">
        <v>1841</v>
      </c>
      <c r="F780" s="14" t="s">
        <v>21</v>
      </c>
      <c r="G780" s="14" t="s">
        <v>25</v>
      </c>
      <c r="H780" s="12" t="s">
        <v>717</v>
      </c>
      <c r="I780" s="19" t="s">
        <v>718</v>
      </c>
      <c r="J780" s="15"/>
      <c r="K780" s="14" t="s">
        <v>578</v>
      </c>
      <c r="L780" s="19" t="s">
        <v>579</v>
      </c>
      <c r="M780" s="19" t="s">
        <v>1055</v>
      </c>
      <c r="N780" s="19" t="s">
        <v>585</v>
      </c>
      <c r="O780" s="15"/>
      <c r="P780" s="15"/>
      <c r="Q780" s="15"/>
    </row>
    <row r="781">
      <c r="A781" s="18">
        <v>46014.0</v>
      </c>
      <c r="B781" s="19" t="s">
        <v>1842</v>
      </c>
      <c r="C781" s="20">
        <f>+542226543585</f>
        <v>542226543585</v>
      </c>
      <c r="D781" s="19" t="s">
        <v>1843</v>
      </c>
      <c r="E781" s="14" t="s">
        <v>24</v>
      </c>
      <c r="F781" s="14" t="s">
        <v>21</v>
      </c>
      <c r="G781" s="14" t="s">
        <v>18</v>
      </c>
      <c r="H781" s="12" t="s">
        <v>740</v>
      </c>
      <c r="I781" s="19" t="s">
        <v>734</v>
      </c>
      <c r="J781" s="14" t="s">
        <v>1844</v>
      </c>
      <c r="K781" s="14" t="s">
        <v>578</v>
      </c>
      <c r="L781" s="19" t="s">
        <v>584</v>
      </c>
      <c r="M781" s="19" t="s">
        <v>580</v>
      </c>
      <c r="N781" s="19" t="s">
        <v>585</v>
      </c>
      <c r="O781" s="15"/>
      <c r="P781" s="15"/>
      <c r="Q781" s="15"/>
    </row>
    <row r="782">
      <c r="A782" s="18">
        <v>46014.0</v>
      </c>
      <c r="B782" s="19" t="s">
        <v>1845</v>
      </c>
      <c r="C782" s="20">
        <f>+542995744997</f>
        <v>542995744997</v>
      </c>
      <c r="D782" s="19" t="s">
        <v>1846</v>
      </c>
      <c r="E782" s="14" t="s">
        <v>24</v>
      </c>
      <c r="F782" s="14" t="s">
        <v>21</v>
      </c>
      <c r="G782" s="14" t="s">
        <v>18</v>
      </c>
      <c r="H782" s="12" t="s">
        <v>727</v>
      </c>
      <c r="I782" s="19" t="s">
        <v>1847</v>
      </c>
      <c r="J782" s="15"/>
      <c r="K782" s="14" t="s">
        <v>578</v>
      </c>
      <c r="L782" s="19" t="s">
        <v>579</v>
      </c>
      <c r="M782" s="19" t="s">
        <v>610</v>
      </c>
      <c r="N782" s="19" t="s">
        <v>585</v>
      </c>
      <c r="O782" s="15"/>
      <c r="P782" s="15"/>
      <c r="Q782" s="15"/>
    </row>
    <row r="783">
      <c r="A783" s="18">
        <v>46014.0</v>
      </c>
      <c r="B783" s="19" t="s">
        <v>1848</v>
      </c>
      <c r="C783" s="20">
        <f>+541141806290</f>
        <v>541141806290</v>
      </c>
      <c r="D783" s="19" t="s">
        <v>1849</v>
      </c>
      <c r="E783" s="19" t="s">
        <v>577</v>
      </c>
      <c r="F783" s="14" t="s">
        <v>21</v>
      </c>
      <c r="G783" s="14" t="s">
        <v>25</v>
      </c>
      <c r="H783" s="12" t="s">
        <v>717</v>
      </c>
      <c r="I783" s="19" t="s">
        <v>728</v>
      </c>
      <c r="J783" s="14" t="s">
        <v>1850</v>
      </c>
      <c r="K783" s="14" t="s">
        <v>578</v>
      </c>
      <c r="L783" s="19" t="s">
        <v>584</v>
      </c>
      <c r="M783" s="19" t="s">
        <v>1055</v>
      </c>
      <c r="N783" s="19" t="s">
        <v>581</v>
      </c>
      <c r="O783" s="15"/>
      <c r="P783" s="15"/>
      <c r="Q783" s="15"/>
    </row>
    <row r="784">
      <c r="A784" s="18">
        <v>46014.0</v>
      </c>
      <c r="B784" s="19" t="s">
        <v>1851</v>
      </c>
      <c r="C784" s="20">
        <f>+541140572843</f>
        <v>541140572843</v>
      </c>
      <c r="D784" s="19" t="s">
        <v>1852</v>
      </c>
      <c r="E784" s="14" t="s">
        <v>24</v>
      </c>
      <c r="F784" s="14" t="s">
        <v>32</v>
      </c>
      <c r="G784" s="14" t="s">
        <v>25</v>
      </c>
      <c r="H784" s="12" t="s">
        <v>727</v>
      </c>
      <c r="I784" s="19" t="s">
        <v>1853</v>
      </c>
      <c r="J784" s="15"/>
      <c r="K784" s="14" t="s">
        <v>578</v>
      </c>
      <c r="L784" s="19" t="s">
        <v>584</v>
      </c>
      <c r="M784" s="19" t="s">
        <v>1055</v>
      </c>
      <c r="N784" s="19" t="s">
        <v>585</v>
      </c>
      <c r="O784" s="15"/>
      <c r="P784" s="15"/>
      <c r="Q784" s="15"/>
    </row>
    <row r="785">
      <c r="A785" s="18">
        <v>46014.0</v>
      </c>
      <c r="B785" s="19" t="s">
        <v>1854</v>
      </c>
      <c r="C785" s="20">
        <f>+541169749989</f>
        <v>541169749989</v>
      </c>
      <c r="D785" s="19" t="s">
        <v>1855</v>
      </c>
      <c r="E785" s="19" t="s">
        <v>577</v>
      </c>
      <c r="F785" s="14" t="s">
        <v>21</v>
      </c>
      <c r="G785" s="14" t="s">
        <v>18</v>
      </c>
      <c r="H785" s="12" t="s">
        <v>717</v>
      </c>
      <c r="I785" s="19" t="s">
        <v>1856</v>
      </c>
      <c r="J785" s="14" t="s">
        <v>1857</v>
      </c>
      <c r="K785" s="14" t="s">
        <v>578</v>
      </c>
      <c r="L785" s="19" t="s">
        <v>584</v>
      </c>
      <c r="M785" s="19" t="s">
        <v>580</v>
      </c>
      <c r="N785" s="19" t="s">
        <v>585</v>
      </c>
      <c r="O785" s="15"/>
      <c r="P785" s="15"/>
      <c r="Q785" s="15"/>
    </row>
    <row r="786">
      <c r="A786" s="18">
        <v>46015.0</v>
      </c>
      <c r="B786" s="19" t="s">
        <v>1858</v>
      </c>
      <c r="C786" s="24">
        <v>2.477607566E9</v>
      </c>
      <c r="D786" s="19" t="s">
        <v>1859</v>
      </c>
      <c r="E786" s="14" t="s">
        <v>24</v>
      </c>
      <c r="F786" s="14" t="s">
        <v>21</v>
      </c>
      <c r="G786" s="14" t="s">
        <v>25</v>
      </c>
      <c r="H786" s="12" t="s">
        <v>717</v>
      </c>
      <c r="I786" s="19" t="s">
        <v>1860</v>
      </c>
      <c r="J786" s="5" t="s">
        <v>1783</v>
      </c>
      <c r="K786" s="14" t="s">
        <v>578</v>
      </c>
      <c r="L786" s="19" t="s">
        <v>579</v>
      </c>
      <c r="M786" s="19" t="s">
        <v>610</v>
      </c>
      <c r="N786" s="19" t="s">
        <v>585</v>
      </c>
      <c r="O786" s="15"/>
      <c r="P786" s="15"/>
      <c r="Q786" s="15"/>
    </row>
    <row r="787">
      <c r="A787" s="18">
        <v>46015.0</v>
      </c>
      <c r="B787" s="19" t="s">
        <v>1861</v>
      </c>
      <c r="C787" s="20">
        <f>+542901609866</f>
        <v>542901609866</v>
      </c>
      <c r="D787" s="19" t="s">
        <v>1862</v>
      </c>
      <c r="E787" s="14" t="s">
        <v>24</v>
      </c>
      <c r="F787" s="14" t="s">
        <v>21</v>
      </c>
      <c r="G787" s="14" t="s">
        <v>18</v>
      </c>
      <c r="H787" s="12" t="s">
        <v>717</v>
      </c>
      <c r="I787" s="19" t="s">
        <v>1863</v>
      </c>
      <c r="J787" s="15"/>
      <c r="K787" s="14" t="s">
        <v>578</v>
      </c>
      <c r="L787" s="19" t="s">
        <v>579</v>
      </c>
      <c r="M787" s="19" t="s">
        <v>610</v>
      </c>
      <c r="N787" s="19" t="s">
        <v>585</v>
      </c>
      <c r="O787" s="15"/>
      <c r="P787" s="15"/>
      <c r="Q787" s="15"/>
    </row>
    <row r="788">
      <c r="A788" s="18">
        <v>46015.0</v>
      </c>
      <c r="B788" s="19" t="s">
        <v>1864</v>
      </c>
      <c r="C788" s="20">
        <f>+543516217944</f>
        <v>543516217944</v>
      </c>
      <c r="D788" s="19" t="s">
        <v>1865</v>
      </c>
      <c r="E788" s="14" t="s">
        <v>16</v>
      </c>
      <c r="F788" s="14" t="s">
        <v>21</v>
      </c>
      <c r="G788" s="14" t="s">
        <v>18</v>
      </c>
      <c r="H788" s="12" t="s">
        <v>740</v>
      </c>
      <c r="I788" s="19" t="s">
        <v>780</v>
      </c>
      <c r="J788" s="5" t="s">
        <v>1783</v>
      </c>
      <c r="K788" s="14" t="s">
        <v>578</v>
      </c>
      <c r="L788" s="19" t="s">
        <v>584</v>
      </c>
      <c r="M788" s="19" t="s">
        <v>580</v>
      </c>
      <c r="N788" s="19" t="s">
        <v>581</v>
      </c>
    </row>
    <row r="789">
      <c r="A789" s="18">
        <v>46015.0</v>
      </c>
      <c r="B789" s="19" t="s">
        <v>1866</v>
      </c>
      <c r="C789" s="20">
        <f>+542664375976</f>
        <v>542664375976</v>
      </c>
      <c r="D789" s="19" t="s">
        <v>1867</v>
      </c>
      <c r="E789" s="14" t="s">
        <v>24</v>
      </c>
      <c r="F789" s="14" t="s">
        <v>21</v>
      </c>
      <c r="G789" s="14" t="s">
        <v>25</v>
      </c>
      <c r="H789" s="12" t="s">
        <v>740</v>
      </c>
      <c r="I789" s="19" t="s">
        <v>1868</v>
      </c>
      <c r="J789" s="15"/>
      <c r="K789" s="14" t="s">
        <v>578</v>
      </c>
      <c r="L789" s="19" t="s">
        <v>579</v>
      </c>
      <c r="M789" s="19" t="s">
        <v>1055</v>
      </c>
      <c r="N789" s="19" t="s">
        <v>581</v>
      </c>
    </row>
    <row r="790">
      <c r="A790" s="18">
        <v>46016.0</v>
      </c>
      <c r="B790" s="19" t="s">
        <v>1869</v>
      </c>
      <c r="C790" s="20">
        <f>+5493415015090</f>
        <v>5493415015090</v>
      </c>
      <c r="D790" s="19" t="s">
        <v>1870</v>
      </c>
      <c r="E790" s="14" t="s">
        <v>24</v>
      </c>
      <c r="F790" s="14" t="s">
        <v>21</v>
      </c>
      <c r="G790" s="14" t="s">
        <v>25</v>
      </c>
      <c r="H790" s="12" t="s">
        <v>717</v>
      </c>
      <c r="I790" s="19" t="s">
        <v>1871</v>
      </c>
      <c r="J790" s="14" t="s">
        <v>1872</v>
      </c>
      <c r="K790" s="14" t="s">
        <v>578</v>
      </c>
      <c r="L790" s="19" t="s">
        <v>579</v>
      </c>
      <c r="M790" s="19" t="s">
        <v>580</v>
      </c>
      <c r="N790" s="19" t="s">
        <v>585</v>
      </c>
    </row>
    <row r="791">
      <c r="A791" s="18">
        <v>46016.0</v>
      </c>
      <c r="B791" s="19" t="s">
        <v>1873</v>
      </c>
      <c r="C791" s="20">
        <f>+543865747111</f>
        <v>543865747111</v>
      </c>
      <c r="D791" s="19" t="s">
        <v>1874</v>
      </c>
      <c r="E791" s="14" t="s">
        <v>24</v>
      </c>
      <c r="F791" s="14" t="s">
        <v>21</v>
      </c>
      <c r="G791" s="14" t="s">
        <v>18</v>
      </c>
      <c r="H791" s="12" t="s">
        <v>717</v>
      </c>
      <c r="I791" s="19" t="s">
        <v>734</v>
      </c>
      <c r="J791" s="15"/>
      <c r="K791" s="14" t="s">
        <v>578</v>
      </c>
      <c r="L791" s="19" t="s">
        <v>579</v>
      </c>
      <c r="M791" s="19" t="s">
        <v>580</v>
      </c>
      <c r="N791" s="19" t="s">
        <v>585</v>
      </c>
    </row>
    <row r="792">
      <c r="A792" s="18">
        <v>46016.0</v>
      </c>
      <c r="B792" s="19" t="s">
        <v>1875</v>
      </c>
      <c r="C792" s="20">
        <f>+542643177007</f>
        <v>542643177007</v>
      </c>
      <c r="D792" s="19" t="s">
        <v>1876</v>
      </c>
      <c r="E792" s="19" t="s">
        <v>577</v>
      </c>
      <c r="F792" s="12" t="s">
        <v>17</v>
      </c>
      <c r="G792" s="14" t="s">
        <v>25</v>
      </c>
      <c r="H792" s="12" t="s">
        <v>740</v>
      </c>
      <c r="I792" s="19" t="s">
        <v>1877</v>
      </c>
      <c r="J792" s="14" t="s">
        <v>1878</v>
      </c>
      <c r="K792" s="14" t="s">
        <v>578</v>
      </c>
      <c r="L792" s="19" t="s">
        <v>579</v>
      </c>
      <c r="M792" s="19" t="s">
        <v>624</v>
      </c>
      <c r="N792" s="19" t="s">
        <v>581</v>
      </c>
    </row>
    <row r="793">
      <c r="A793" s="18">
        <v>46016.0</v>
      </c>
      <c r="B793" s="19" t="s">
        <v>1879</v>
      </c>
      <c r="C793" s="20">
        <f>+542966447622</f>
        <v>542966447622</v>
      </c>
      <c r="D793" s="19" t="s">
        <v>1880</v>
      </c>
      <c r="E793" s="14" t="s">
        <v>24</v>
      </c>
      <c r="F793" s="14" t="s">
        <v>21</v>
      </c>
      <c r="G793" s="14" t="s">
        <v>25</v>
      </c>
      <c r="H793" s="12" t="s">
        <v>717</v>
      </c>
      <c r="I793" s="19" t="s">
        <v>818</v>
      </c>
      <c r="J793" s="15"/>
      <c r="K793" s="14" t="s">
        <v>578</v>
      </c>
      <c r="L793" s="19" t="s">
        <v>579</v>
      </c>
      <c r="M793" s="19" t="s">
        <v>610</v>
      </c>
      <c r="N793" s="19" t="s">
        <v>581</v>
      </c>
    </row>
    <row r="794">
      <c r="A794" s="18">
        <v>46017.0</v>
      </c>
      <c r="B794" s="19" t="s">
        <v>1881</v>
      </c>
      <c r="C794" s="20">
        <f>+541166480250</f>
        <v>541166480250</v>
      </c>
      <c r="D794" s="19" t="s">
        <v>1882</v>
      </c>
      <c r="E794" s="14" t="s">
        <v>16</v>
      </c>
      <c r="F794" s="14" t="s">
        <v>21</v>
      </c>
      <c r="G794" s="14" t="s">
        <v>25</v>
      </c>
      <c r="H794" s="12" t="s">
        <v>740</v>
      </c>
      <c r="I794" s="19" t="s">
        <v>818</v>
      </c>
      <c r="J794" s="15"/>
      <c r="K794" s="14" t="s">
        <v>578</v>
      </c>
      <c r="L794" s="19" t="s">
        <v>584</v>
      </c>
      <c r="M794" s="19" t="s">
        <v>580</v>
      </c>
      <c r="N794" s="19" t="s">
        <v>581</v>
      </c>
    </row>
    <row r="795">
      <c r="A795" s="18">
        <v>46017.0</v>
      </c>
      <c r="B795" s="19" t="s">
        <v>1883</v>
      </c>
      <c r="C795" s="20">
        <f>+542281407470</f>
        <v>542281407470</v>
      </c>
      <c r="D795" s="19" t="s">
        <v>1884</v>
      </c>
      <c r="E795" s="14" t="s">
        <v>24</v>
      </c>
      <c r="F795" s="14" t="s">
        <v>21</v>
      </c>
      <c r="G795" s="14" t="s">
        <v>25</v>
      </c>
      <c r="H795" s="12" t="s">
        <v>727</v>
      </c>
      <c r="I795" s="19" t="s">
        <v>1885</v>
      </c>
      <c r="J795" s="15"/>
      <c r="K795" s="14" t="s">
        <v>578</v>
      </c>
      <c r="L795" s="19" t="s">
        <v>579</v>
      </c>
      <c r="M795" s="19" t="s">
        <v>580</v>
      </c>
      <c r="N795" s="19" t="s">
        <v>585</v>
      </c>
    </row>
    <row r="796">
      <c r="A796" s="18">
        <v>46017.0</v>
      </c>
      <c r="B796" s="19" t="s">
        <v>1886</v>
      </c>
      <c r="C796" s="20">
        <f>+543794544521</f>
        <v>543794544521</v>
      </c>
      <c r="D796" s="19" t="s">
        <v>1887</v>
      </c>
      <c r="E796" s="19" t="s">
        <v>577</v>
      </c>
      <c r="F796" s="14" t="s">
        <v>21</v>
      </c>
      <c r="G796" s="14" t="s">
        <v>25</v>
      </c>
      <c r="H796" s="12" t="s">
        <v>717</v>
      </c>
      <c r="I796" s="19" t="s">
        <v>1888</v>
      </c>
      <c r="J796" s="14" t="s">
        <v>1889</v>
      </c>
      <c r="K796" s="14" t="s">
        <v>578</v>
      </c>
      <c r="L796" s="19" t="s">
        <v>579</v>
      </c>
      <c r="M796" s="19" t="s">
        <v>580</v>
      </c>
      <c r="N796" s="19" t="s">
        <v>585</v>
      </c>
    </row>
    <row r="797">
      <c r="A797" s="18">
        <v>46017.0</v>
      </c>
      <c r="B797" s="19" t="s">
        <v>1890</v>
      </c>
      <c r="C797" s="20">
        <f>+543834507717</f>
        <v>543834507717</v>
      </c>
      <c r="D797" s="19" t="s">
        <v>1891</v>
      </c>
      <c r="E797" s="19" t="s">
        <v>577</v>
      </c>
      <c r="F797" s="14" t="s">
        <v>21</v>
      </c>
      <c r="G797" s="14" t="s">
        <v>25</v>
      </c>
      <c r="H797" s="12" t="s">
        <v>717</v>
      </c>
      <c r="I797" s="19" t="s">
        <v>1892</v>
      </c>
      <c r="J797" s="15"/>
      <c r="K797" s="14" t="s">
        <v>578</v>
      </c>
      <c r="L797" s="19" t="s">
        <v>579</v>
      </c>
      <c r="M797" s="19" t="s">
        <v>580</v>
      </c>
      <c r="N797" s="19" t="s">
        <v>581</v>
      </c>
    </row>
    <row r="798">
      <c r="A798" s="18">
        <v>46017.0</v>
      </c>
      <c r="B798" s="19" t="s">
        <v>1893</v>
      </c>
      <c r="C798" s="20">
        <f>+542234989004</f>
        <v>542234989004</v>
      </c>
      <c r="D798" s="19" t="s">
        <v>1894</v>
      </c>
      <c r="E798" s="19" t="s">
        <v>577</v>
      </c>
      <c r="F798" s="14" t="s">
        <v>21</v>
      </c>
      <c r="G798" s="14" t="s">
        <v>25</v>
      </c>
      <c r="H798" s="12" t="s">
        <v>717</v>
      </c>
      <c r="I798" s="19" t="s">
        <v>1895</v>
      </c>
      <c r="J798" s="14" t="s">
        <v>1896</v>
      </c>
      <c r="K798" s="14" t="s">
        <v>578</v>
      </c>
      <c r="L798" s="19" t="s">
        <v>579</v>
      </c>
      <c r="M798" s="19" t="s">
        <v>580</v>
      </c>
      <c r="N798" s="19" t="s">
        <v>581</v>
      </c>
    </row>
    <row r="799">
      <c r="A799" s="18">
        <v>46017.0</v>
      </c>
      <c r="B799" s="19" t="s">
        <v>1897</v>
      </c>
      <c r="C799" s="20">
        <f>+542235304648</f>
        <v>542235304648</v>
      </c>
      <c r="D799" s="19" t="s">
        <v>1898</v>
      </c>
      <c r="E799" s="14" t="s">
        <v>24</v>
      </c>
      <c r="F799" s="14" t="s">
        <v>21</v>
      </c>
      <c r="G799" s="14" t="s">
        <v>25</v>
      </c>
      <c r="H799" s="12" t="s">
        <v>717</v>
      </c>
      <c r="I799" s="19" t="s">
        <v>1899</v>
      </c>
      <c r="J799" s="15"/>
      <c r="K799" s="14" t="s">
        <v>578</v>
      </c>
      <c r="L799" s="19" t="s">
        <v>579</v>
      </c>
      <c r="M799" s="19" t="s">
        <v>580</v>
      </c>
      <c r="N799" s="19" t="s">
        <v>585</v>
      </c>
    </row>
    <row r="800">
      <c r="A800" s="18">
        <v>46017.0</v>
      </c>
      <c r="B800" s="19" t="s">
        <v>1900</v>
      </c>
      <c r="C800" s="20">
        <f>+543462646060</f>
        <v>543462646060</v>
      </c>
      <c r="D800" s="19" t="s">
        <v>1901</v>
      </c>
      <c r="E800" s="19" t="s">
        <v>577</v>
      </c>
      <c r="F800" s="14" t="s">
        <v>21</v>
      </c>
      <c r="G800" s="14" t="s">
        <v>18</v>
      </c>
      <c r="H800" s="12" t="s">
        <v>740</v>
      </c>
      <c r="I800" s="19" t="s">
        <v>1902</v>
      </c>
      <c r="J800" s="14" t="s">
        <v>1783</v>
      </c>
      <c r="K800" s="14" t="s">
        <v>578</v>
      </c>
      <c r="L800" s="19" t="s">
        <v>579</v>
      </c>
      <c r="M800" s="19" t="s">
        <v>580</v>
      </c>
      <c r="N800" s="19" t="s">
        <v>585</v>
      </c>
    </row>
    <row r="801">
      <c r="A801" s="18">
        <v>46017.0</v>
      </c>
      <c r="B801" s="19" t="s">
        <v>1903</v>
      </c>
      <c r="C801" s="20">
        <f>+543462537563</f>
        <v>543462537563</v>
      </c>
      <c r="D801" s="19" t="s">
        <v>1904</v>
      </c>
      <c r="E801" s="14" t="s">
        <v>16</v>
      </c>
      <c r="F801" s="14" t="s">
        <v>21</v>
      </c>
      <c r="G801" s="14" t="s">
        <v>18</v>
      </c>
      <c r="H801" s="12" t="s">
        <v>717</v>
      </c>
      <c r="I801" s="19" t="s">
        <v>1905</v>
      </c>
      <c r="J801" s="15"/>
      <c r="K801" s="14" t="s">
        <v>578</v>
      </c>
      <c r="L801" s="19" t="s">
        <v>579</v>
      </c>
      <c r="M801" s="19" t="s">
        <v>580</v>
      </c>
      <c r="N801" s="19" t="s">
        <v>585</v>
      </c>
    </row>
    <row r="802">
      <c r="A802" s="18">
        <v>46017.0</v>
      </c>
      <c r="B802" s="19" t="s">
        <v>1906</v>
      </c>
      <c r="C802" s="20">
        <f>+541125650474</f>
        <v>541125650474</v>
      </c>
      <c r="D802" s="19" t="s">
        <v>1907</v>
      </c>
      <c r="E802" s="14" t="s">
        <v>24</v>
      </c>
      <c r="F802" s="14" t="s">
        <v>21</v>
      </c>
      <c r="G802" s="14" t="s">
        <v>25</v>
      </c>
      <c r="H802" s="12" t="s">
        <v>717</v>
      </c>
      <c r="I802" s="19" t="s">
        <v>947</v>
      </c>
      <c r="J802" s="14" t="s">
        <v>1908</v>
      </c>
      <c r="K802" s="14" t="s">
        <v>578</v>
      </c>
      <c r="L802" s="19" t="s">
        <v>584</v>
      </c>
      <c r="M802" s="19" t="s">
        <v>580</v>
      </c>
      <c r="N802" s="19" t="s">
        <v>581</v>
      </c>
    </row>
    <row r="803">
      <c r="A803" s="18">
        <v>46017.0</v>
      </c>
      <c r="B803" s="19" t="s">
        <v>1909</v>
      </c>
      <c r="C803" s="20">
        <f>+541123707906</f>
        <v>541123707906</v>
      </c>
      <c r="D803" s="19" t="s">
        <v>1910</v>
      </c>
      <c r="E803" s="14" t="s">
        <v>16</v>
      </c>
      <c r="F803" s="14" t="s">
        <v>21</v>
      </c>
      <c r="G803" s="14" t="s">
        <v>25</v>
      </c>
      <c r="H803" s="12" t="s">
        <v>740</v>
      </c>
      <c r="I803" s="19" t="s">
        <v>1911</v>
      </c>
      <c r="J803" s="15"/>
      <c r="K803" s="14" t="s">
        <v>578</v>
      </c>
      <c r="L803" s="19" t="s">
        <v>584</v>
      </c>
      <c r="M803" s="19" t="s">
        <v>580</v>
      </c>
      <c r="N803" s="19" t="s">
        <v>581</v>
      </c>
    </row>
    <row r="804">
      <c r="A804" s="18">
        <v>46017.0</v>
      </c>
      <c r="B804" s="19" t="s">
        <v>1912</v>
      </c>
      <c r="C804" s="20">
        <f>+543401418760</f>
        <v>543401418760</v>
      </c>
      <c r="D804" s="19" t="s">
        <v>1913</v>
      </c>
      <c r="E804" s="14" t="s">
        <v>24</v>
      </c>
      <c r="F804" s="14" t="s">
        <v>21</v>
      </c>
      <c r="G804" s="14" t="s">
        <v>25</v>
      </c>
      <c r="H804" s="12" t="s">
        <v>717</v>
      </c>
      <c r="I804" s="19" t="s">
        <v>1914</v>
      </c>
      <c r="J804" s="14" t="s">
        <v>1783</v>
      </c>
      <c r="K804" s="14" t="s">
        <v>578</v>
      </c>
      <c r="L804" s="19" t="s">
        <v>579</v>
      </c>
      <c r="M804" s="19" t="s">
        <v>624</v>
      </c>
      <c r="N804" s="19" t="s">
        <v>581</v>
      </c>
    </row>
    <row r="805">
      <c r="A805" s="18">
        <v>46017.0</v>
      </c>
      <c r="B805" s="19" t="s">
        <v>1915</v>
      </c>
      <c r="C805" s="20">
        <f>+543774638413</f>
        <v>543774638413</v>
      </c>
      <c r="D805" s="19" t="s">
        <v>1916</v>
      </c>
      <c r="E805" s="19" t="s">
        <v>577</v>
      </c>
      <c r="F805" s="14" t="s">
        <v>21</v>
      </c>
      <c r="G805" s="14" t="s">
        <v>25</v>
      </c>
      <c r="H805" s="12" t="s">
        <v>717</v>
      </c>
      <c r="I805" s="19" t="s">
        <v>1917</v>
      </c>
      <c r="J805" s="15"/>
      <c r="K805" s="14" t="s">
        <v>578</v>
      </c>
      <c r="L805" s="19" t="s">
        <v>579</v>
      </c>
      <c r="M805" s="19" t="s">
        <v>580</v>
      </c>
      <c r="N805" s="19" t="s">
        <v>581</v>
      </c>
    </row>
    <row r="806">
      <c r="A806" s="18">
        <v>46018.0</v>
      </c>
      <c r="B806" s="19" t="s">
        <v>1918</v>
      </c>
      <c r="C806" s="24" t="s">
        <v>1919</v>
      </c>
      <c r="D806" s="19" t="s">
        <v>1920</v>
      </c>
      <c r="E806" s="14" t="s">
        <v>16</v>
      </c>
      <c r="F806" s="14" t="s">
        <v>21</v>
      </c>
      <c r="G806" s="14" t="s">
        <v>25</v>
      </c>
      <c r="H806" s="12" t="s">
        <v>717</v>
      </c>
      <c r="I806" s="19" t="s">
        <v>1005</v>
      </c>
      <c r="J806" s="15"/>
      <c r="K806" s="14" t="s">
        <v>578</v>
      </c>
      <c r="L806" s="19" t="s">
        <v>579</v>
      </c>
      <c r="M806" s="19" t="s">
        <v>580</v>
      </c>
      <c r="N806" s="19" t="s">
        <v>585</v>
      </c>
    </row>
    <row r="807">
      <c r="A807" s="18">
        <v>46018.0</v>
      </c>
      <c r="B807" s="19" t="s">
        <v>1921</v>
      </c>
      <c r="C807" s="20">
        <f>+542657320960</f>
        <v>542657320960</v>
      </c>
      <c r="D807" s="19" t="s">
        <v>1922</v>
      </c>
      <c r="E807" s="14" t="s">
        <v>16</v>
      </c>
      <c r="F807" s="14" t="s">
        <v>21</v>
      </c>
      <c r="G807" s="14" t="s">
        <v>25</v>
      </c>
      <c r="H807" s="12" t="s">
        <v>727</v>
      </c>
      <c r="I807" s="19" t="s">
        <v>1923</v>
      </c>
      <c r="J807" s="14" t="s">
        <v>1783</v>
      </c>
      <c r="K807" s="14" t="s">
        <v>578</v>
      </c>
      <c r="L807" s="19" t="s">
        <v>579</v>
      </c>
      <c r="M807" s="19" t="s">
        <v>580</v>
      </c>
      <c r="N807" s="19" t="s">
        <v>581</v>
      </c>
    </row>
    <row r="808">
      <c r="A808" s="18">
        <v>46018.0</v>
      </c>
      <c r="B808" s="19" t="s">
        <v>1924</v>
      </c>
      <c r="C808" s="20">
        <f>+543413741606</f>
        <v>543413741606</v>
      </c>
      <c r="D808" s="19" t="s">
        <v>1925</v>
      </c>
      <c r="E808" s="14" t="s">
        <v>24</v>
      </c>
      <c r="F808" s="14" t="s">
        <v>32</v>
      </c>
      <c r="G808" s="14" t="s">
        <v>25</v>
      </c>
      <c r="H808" s="12" t="s">
        <v>740</v>
      </c>
      <c r="I808" s="19" t="s">
        <v>718</v>
      </c>
      <c r="J808" s="15"/>
      <c r="K808" s="14" t="s">
        <v>578</v>
      </c>
      <c r="L808" s="19" t="s">
        <v>579</v>
      </c>
      <c r="M808" s="19" t="s">
        <v>580</v>
      </c>
      <c r="N808" s="19" t="s">
        <v>585</v>
      </c>
    </row>
    <row r="809">
      <c r="A809" s="18">
        <v>46018.0</v>
      </c>
      <c r="B809" s="19" t="s">
        <v>1926</v>
      </c>
      <c r="C809" s="20">
        <f>+542920263599</f>
        <v>542920263599</v>
      </c>
      <c r="D809" s="19" t="s">
        <v>1927</v>
      </c>
      <c r="E809" s="14" t="s">
        <v>24</v>
      </c>
      <c r="F809" s="14" t="s">
        <v>21</v>
      </c>
      <c r="G809" s="14" t="s">
        <v>25</v>
      </c>
      <c r="H809" s="12" t="s">
        <v>717</v>
      </c>
      <c r="I809" s="19" t="s">
        <v>1928</v>
      </c>
      <c r="J809" s="14" t="s">
        <v>1783</v>
      </c>
      <c r="K809" s="14" t="s">
        <v>578</v>
      </c>
      <c r="L809" s="19" t="s">
        <v>579</v>
      </c>
      <c r="M809" s="19" t="s">
        <v>580</v>
      </c>
      <c r="N809" s="19" t="s">
        <v>585</v>
      </c>
    </row>
    <row r="810">
      <c r="A810" s="18">
        <v>46018.0</v>
      </c>
      <c r="B810" s="19" t="s">
        <v>1929</v>
      </c>
      <c r="C810" s="20">
        <f>+541159954607</f>
        <v>541159954607</v>
      </c>
      <c r="D810" s="19" t="s">
        <v>1930</v>
      </c>
      <c r="E810" s="19" t="s">
        <v>577</v>
      </c>
      <c r="F810" s="14" t="s">
        <v>32</v>
      </c>
      <c r="G810" s="14" t="s">
        <v>25</v>
      </c>
      <c r="H810" s="12" t="s">
        <v>745</v>
      </c>
      <c r="I810" s="19" t="s">
        <v>818</v>
      </c>
      <c r="J810" s="14"/>
      <c r="K810" s="14" t="s">
        <v>578</v>
      </c>
      <c r="L810" s="19" t="s">
        <v>584</v>
      </c>
      <c r="M810" s="19" t="s">
        <v>580</v>
      </c>
      <c r="N810" s="19" t="s">
        <v>585</v>
      </c>
    </row>
    <row r="811">
      <c r="A811" s="18">
        <v>46018.0</v>
      </c>
      <c r="B811" s="19" t="s">
        <v>1931</v>
      </c>
      <c r="C811" s="20">
        <f>+542243460262</f>
        <v>542243460262</v>
      </c>
      <c r="D811" s="19" t="s">
        <v>1932</v>
      </c>
      <c r="E811" s="14" t="s">
        <v>16</v>
      </c>
      <c r="F811" s="14" t="s">
        <v>21</v>
      </c>
      <c r="G811" s="14" t="s">
        <v>25</v>
      </c>
      <c r="H811" s="12" t="s">
        <v>717</v>
      </c>
      <c r="I811" s="19" t="s">
        <v>1933</v>
      </c>
      <c r="J811" s="14" t="s">
        <v>1783</v>
      </c>
      <c r="K811" s="14" t="s">
        <v>578</v>
      </c>
      <c r="L811" s="19" t="s">
        <v>579</v>
      </c>
      <c r="M811" s="19" t="s">
        <v>580</v>
      </c>
      <c r="N811" s="19" t="s">
        <v>585</v>
      </c>
    </row>
    <row r="812">
      <c r="A812" s="18">
        <v>46018.0</v>
      </c>
      <c r="B812" s="19" t="s">
        <v>1934</v>
      </c>
      <c r="C812" s="20">
        <f>+542494271948</f>
        <v>542494271948</v>
      </c>
      <c r="D812" s="19" t="s">
        <v>1935</v>
      </c>
      <c r="E812" s="14" t="s">
        <v>24</v>
      </c>
      <c r="F812" s="14" t="s">
        <v>21</v>
      </c>
      <c r="G812" s="14" t="s">
        <v>25</v>
      </c>
      <c r="H812" s="12" t="s">
        <v>727</v>
      </c>
      <c r="I812" s="19" t="s">
        <v>1936</v>
      </c>
      <c r="J812" s="15"/>
      <c r="K812" s="14" t="s">
        <v>578</v>
      </c>
      <c r="L812" s="19" t="s">
        <v>579</v>
      </c>
      <c r="M812" s="19" t="s">
        <v>580</v>
      </c>
      <c r="N812" s="19" t="s">
        <v>581</v>
      </c>
    </row>
    <row r="813">
      <c r="A813" s="18">
        <v>46019.0</v>
      </c>
      <c r="B813" s="19" t="s">
        <v>1937</v>
      </c>
      <c r="C813" s="20">
        <f>+543804419366</f>
        <v>543804419366</v>
      </c>
      <c r="D813" s="19" t="s">
        <v>1938</v>
      </c>
      <c r="E813" s="19" t="s">
        <v>577</v>
      </c>
      <c r="F813" s="14" t="s">
        <v>21</v>
      </c>
      <c r="G813" s="14" t="s">
        <v>18</v>
      </c>
      <c r="H813" s="12" t="s">
        <v>740</v>
      </c>
      <c r="I813" s="19" t="s">
        <v>759</v>
      </c>
      <c r="J813" s="15"/>
      <c r="K813" s="14" t="s">
        <v>578</v>
      </c>
      <c r="L813" s="19" t="s">
        <v>579</v>
      </c>
      <c r="M813" s="19" t="s">
        <v>580</v>
      </c>
      <c r="N813" s="19" t="s">
        <v>585</v>
      </c>
    </row>
    <row r="814">
      <c r="A814" s="18">
        <v>46019.0</v>
      </c>
      <c r="B814" s="19" t="s">
        <v>1939</v>
      </c>
      <c r="C814" s="20">
        <f>+541149281589</f>
        <v>541149281589</v>
      </c>
      <c r="D814" s="19" t="s">
        <v>1940</v>
      </c>
      <c r="E814" s="14" t="s">
        <v>16</v>
      </c>
      <c r="F814" s="14" t="s">
        <v>32</v>
      </c>
      <c r="G814" s="14" t="s">
        <v>18</v>
      </c>
      <c r="H814" s="12" t="s">
        <v>740</v>
      </c>
      <c r="I814" s="19" t="s">
        <v>885</v>
      </c>
      <c r="J814" s="14" t="s">
        <v>1783</v>
      </c>
      <c r="K814" s="14" t="s">
        <v>578</v>
      </c>
      <c r="L814" s="19" t="s">
        <v>584</v>
      </c>
      <c r="M814" s="19" t="s">
        <v>1055</v>
      </c>
      <c r="N814" s="19" t="s">
        <v>581</v>
      </c>
    </row>
    <row r="815">
      <c r="A815" s="18">
        <v>46019.0</v>
      </c>
      <c r="B815" s="19" t="s">
        <v>1941</v>
      </c>
      <c r="C815" s="20">
        <f>+541123119386</f>
        <v>541123119386</v>
      </c>
      <c r="D815" s="19" t="s">
        <v>1942</v>
      </c>
      <c r="E815" s="14" t="s">
        <v>24</v>
      </c>
      <c r="F815" s="14" t="s">
        <v>21</v>
      </c>
      <c r="G815" s="14" t="s">
        <v>25</v>
      </c>
      <c r="H815" s="12" t="s">
        <v>717</v>
      </c>
      <c r="I815" s="19" t="s">
        <v>1005</v>
      </c>
      <c r="J815" s="14" t="s">
        <v>1943</v>
      </c>
      <c r="K815" s="14" t="s">
        <v>578</v>
      </c>
      <c r="L815" s="19" t="s">
        <v>584</v>
      </c>
      <c r="M815" s="19" t="s">
        <v>1055</v>
      </c>
      <c r="N815" s="19" t="s">
        <v>585</v>
      </c>
    </row>
    <row r="816">
      <c r="A816" s="18">
        <v>46019.0</v>
      </c>
      <c r="B816" s="19" t="s">
        <v>1944</v>
      </c>
      <c r="C816" s="20">
        <f>+542804872319</f>
        <v>542804872319</v>
      </c>
      <c r="D816" s="19" t="s">
        <v>1945</v>
      </c>
      <c r="E816" s="14" t="s">
        <v>24</v>
      </c>
      <c r="F816" s="14" t="s">
        <v>21</v>
      </c>
      <c r="G816" s="14" t="s">
        <v>18</v>
      </c>
      <c r="H816" s="12" t="s">
        <v>717</v>
      </c>
      <c r="I816" s="19" t="s">
        <v>1946</v>
      </c>
      <c r="J816" s="15"/>
      <c r="K816" s="14" t="s">
        <v>578</v>
      </c>
      <c r="L816" s="19" t="s">
        <v>579</v>
      </c>
      <c r="M816" s="19" t="s">
        <v>580</v>
      </c>
      <c r="N816" s="19" t="s">
        <v>585</v>
      </c>
    </row>
    <row r="817">
      <c r="A817" s="18">
        <v>46019.0</v>
      </c>
      <c r="B817" s="19" t="s">
        <v>1947</v>
      </c>
      <c r="C817" s="20">
        <f>+543437457744</f>
        <v>543437457744</v>
      </c>
      <c r="D817" s="19" t="s">
        <v>1948</v>
      </c>
      <c r="E817" s="14" t="s">
        <v>24</v>
      </c>
      <c r="F817" s="14" t="s">
        <v>21</v>
      </c>
      <c r="G817" s="14" t="s">
        <v>25</v>
      </c>
      <c r="H817" s="12" t="s">
        <v>717</v>
      </c>
      <c r="I817" s="19" t="s">
        <v>718</v>
      </c>
      <c r="J817" s="14" t="s">
        <v>1949</v>
      </c>
      <c r="K817" s="14" t="s">
        <v>578</v>
      </c>
      <c r="L817" s="19" t="s">
        <v>579</v>
      </c>
      <c r="M817" s="19" t="s">
        <v>580</v>
      </c>
      <c r="N817" s="19" t="s">
        <v>585</v>
      </c>
    </row>
    <row r="818">
      <c r="A818" s="18">
        <v>46019.0</v>
      </c>
      <c r="B818" s="19" t="s">
        <v>1950</v>
      </c>
      <c r="C818" s="20">
        <f>+542262641377</f>
        <v>542262641377</v>
      </c>
      <c r="D818" s="19" t="s">
        <v>1951</v>
      </c>
      <c r="E818" s="14" t="s">
        <v>16</v>
      </c>
      <c r="F818" s="12" t="s">
        <v>17</v>
      </c>
      <c r="G818" s="14" t="s">
        <v>18</v>
      </c>
      <c r="H818" s="12" t="s">
        <v>727</v>
      </c>
      <c r="I818" s="24">
        <v>1.0</v>
      </c>
      <c r="J818" s="15"/>
      <c r="K818" s="14" t="s">
        <v>578</v>
      </c>
      <c r="L818" s="19" t="s">
        <v>579</v>
      </c>
      <c r="M818" s="19" t="s">
        <v>580</v>
      </c>
      <c r="N818" s="19" t="s">
        <v>585</v>
      </c>
    </row>
    <row r="819">
      <c r="A819" s="18">
        <v>46019.0</v>
      </c>
      <c r="B819" s="19" t="s">
        <v>1952</v>
      </c>
      <c r="C819" s="20">
        <f>+543517038959</f>
        <v>543517038959</v>
      </c>
      <c r="D819" s="19" t="s">
        <v>1953</v>
      </c>
      <c r="E819" s="14" t="s">
        <v>16</v>
      </c>
      <c r="F819" s="12" t="s">
        <v>17</v>
      </c>
      <c r="G819" s="14" t="s">
        <v>18</v>
      </c>
      <c r="H819" s="12" t="s">
        <v>727</v>
      </c>
      <c r="I819" s="19" t="s">
        <v>1954</v>
      </c>
      <c r="J819" s="14" t="s">
        <v>1955</v>
      </c>
      <c r="K819" s="14" t="s">
        <v>578</v>
      </c>
      <c r="L819" s="19" t="s">
        <v>579</v>
      </c>
      <c r="M819" s="19" t="s">
        <v>580</v>
      </c>
      <c r="N819" s="19" t="s">
        <v>585</v>
      </c>
    </row>
    <row r="820">
      <c r="A820" s="18">
        <v>46019.0</v>
      </c>
      <c r="B820" s="19" t="s">
        <v>1956</v>
      </c>
      <c r="C820" s="20">
        <f>+542984585262</f>
        <v>542984585262</v>
      </c>
      <c r="D820" s="19" t="s">
        <v>1957</v>
      </c>
      <c r="E820" s="19" t="s">
        <v>577</v>
      </c>
      <c r="F820" s="14" t="s">
        <v>21</v>
      </c>
      <c r="G820" s="14" t="s">
        <v>18</v>
      </c>
      <c r="H820" s="12" t="s">
        <v>717</v>
      </c>
      <c r="I820" s="19" t="s">
        <v>780</v>
      </c>
      <c r="J820" s="15"/>
      <c r="K820" s="14" t="s">
        <v>578</v>
      </c>
      <c r="L820" s="19" t="s">
        <v>579</v>
      </c>
      <c r="M820" s="19" t="s">
        <v>580</v>
      </c>
      <c r="N820" s="19" t="s">
        <v>581</v>
      </c>
    </row>
    <row r="821">
      <c r="A821" s="18">
        <v>46019.0</v>
      </c>
      <c r="B821" s="19" t="s">
        <v>1958</v>
      </c>
      <c r="C821" s="20">
        <f>+542314617775</f>
        <v>542314617775</v>
      </c>
      <c r="D821" s="19" t="s">
        <v>1959</v>
      </c>
      <c r="E821" s="14" t="s">
        <v>16</v>
      </c>
      <c r="F821" s="12" t="s">
        <v>17</v>
      </c>
      <c r="G821" s="14" t="s">
        <v>25</v>
      </c>
      <c r="H821" s="12" t="s">
        <v>727</v>
      </c>
      <c r="I821" s="19" t="s">
        <v>1088</v>
      </c>
      <c r="J821" s="5" t="s">
        <v>1783</v>
      </c>
      <c r="K821" s="14" t="s">
        <v>578</v>
      </c>
      <c r="L821" s="19" t="s">
        <v>579</v>
      </c>
      <c r="M821" s="19" t="s">
        <v>580</v>
      </c>
      <c r="N821" s="19" t="s">
        <v>585</v>
      </c>
    </row>
    <row r="822">
      <c r="A822" s="18">
        <v>46020.0</v>
      </c>
      <c r="B822" s="7" t="s">
        <v>1750</v>
      </c>
      <c r="C822" s="21">
        <f>+541130710647</f>
        <v>541130710647</v>
      </c>
      <c r="D822" s="7" t="s">
        <v>1960</v>
      </c>
      <c r="E822" s="14" t="s">
        <v>24</v>
      </c>
      <c r="F822" s="14" t="s">
        <v>21</v>
      </c>
      <c r="G822" s="19" t="s">
        <v>1045</v>
      </c>
      <c r="H822" s="12" t="s">
        <v>717</v>
      </c>
      <c r="I822" s="7" t="s">
        <v>1961</v>
      </c>
      <c r="J822" s="5" t="s">
        <v>1962</v>
      </c>
      <c r="K822" s="14" t="s">
        <v>578</v>
      </c>
      <c r="L822" s="7" t="s">
        <v>584</v>
      </c>
      <c r="M822" s="7" t="s">
        <v>1055</v>
      </c>
      <c r="N822" s="7" t="s">
        <v>585</v>
      </c>
    </row>
    <row r="823">
      <c r="A823" s="18">
        <v>46020.0</v>
      </c>
      <c r="B823" s="7" t="s">
        <v>1963</v>
      </c>
      <c r="C823" s="21">
        <f>+541162538527</f>
        <v>541162538527</v>
      </c>
      <c r="D823" s="7" t="s">
        <v>1964</v>
      </c>
      <c r="E823" s="14" t="s">
        <v>24</v>
      </c>
      <c r="F823" s="14" t="s">
        <v>21</v>
      </c>
      <c r="G823" s="19" t="s">
        <v>1045</v>
      </c>
      <c r="H823" s="12" t="s">
        <v>727</v>
      </c>
      <c r="I823" s="7" t="s">
        <v>1045</v>
      </c>
      <c r="K823" s="14" t="s">
        <v>578</v>
      </c>
      <c r="L823" s="7" t="s">
        <v>584</v>
      </c>
      <c r="M823" s="7" t="s">
        <v>1055</v>
      </c>
      <c r="N823" s="7" t="s">
        <v>581</v>
      </c>
    </row>
    <row r="824">
      <c r="A824" s="18">
        <v>46020.0</v>
      </c>
      <c r="B824" s="7" t="s">
        <v>1965</v>
      </c>
      <c r="C824" s="21">
        <f>+5491150439881</f>
        <v>5491150439881</v>
      </c>
      <c r="D824" s="7" t="s">
        <v>1966</v>
      </c>
      <c r="E824" s="14" t="s">
        <v>24</v>
      </c>
      <c r="F824" s="14" t="s">
        <v>21</v>
      </c>
      <c r="G824" s="14" t="s">
        <v>25</v>
      </c>
      <c r="H824" s="12" t="s">
        <v>740</v>
      </c>
      <c r="I824" s="7" t="s">
        <v>756</v>
      </c>
      <c r="J824" s="5" t="s">
        <v>1783</v>
      </c>
      <c r="K824" s="14" t="s">
        <v>578</v>
      </c>
      <c r="L824" s="7" t="s">
        <v>584</v>
      </c>
      <c r="M824" s="7" t="s">
        <v>1055</v>
      </c>
      <c r="N824" s="7" t="s">
        <v>581</v>
      </c>
    </row>
    <row r="825">
      <c r="A825" s="18">
        <v>46020.0</v>
      </c>
      <c r="B825" s="7" t="s">
        <v>1967</v>
      </c>
      <c r="C825" s="21">
        <f>+543446535764</f>
        <v>543446535764</v>
      </c>
      <c r="D825" s="7" t="s">
        <v>1968</v>
      </c>
      <c r="E825" s="14" t="s">
        <v>24</v>
      </c>
      <c r="F825" s="14" t="s">
        <v>21</v>
      </c>
      <c r="G825" s="14" t="s">
        <v>25</v>
      </c>
      <c r="H825" s="12" t="s">
        <v>717</v>
      </c>
      <c r="I825" s="7" t="s">
        <v>1969</v>
      </c>
      <c r="K825" s="14" t="s">
        <v>578</v>
      </c>
      <c r="L825" s="7" t="s">
        <v>579</v>
      </c>
      <c r="M825" s="7" t="s">
        <v>580</v>
      </c>
      <c r="N825" s="7" t="s">
        <v>585</v>
      </c>
    </row>
    <row r="826">
      <c r="A826" s="18">
        <v>46020.0</v>
      </c>
      <c r="B826" s="7" t="s">
        <v>1970</v>
      </c>
      <c r="C826" s="21">
        <f>+543512429371</f>
        <v>543512429371</v>
      </c>
      <c r="D826" s="7" t="s">
        <v>1971</v>
      </c>
      <c r="E826" s="14" t="s">
        <v>24</v>
      </c>
      <c r="F826" s="14" t="s">
        <v>21</v>
      </c>
      <c r="G826" s="14" t="s">
        <v>25</v>
      </c>
      <c r="H826" s="12" t="s">
        <v>740</v>
      </c>
      <c r="I826" s="7" t="s">
        <v>731</v>
      </c>
      <c r="J826" s="5" t="s">
        <v>1783</v>
      </c>
      <c r="K826" s="14" t="s">
        <v>578</v>
      </c>
      <c r="L826" s="7" t="s">
        <v>579</v>
      </c>
      <c r="M826" s="7" t="s">
        <v>580</v>
      </c>
      <c r="N826" s="7" t="s">
        <v>581</v>
      </c>
    </row>
    <row r="827">
      <c r="A827" s="18">
        <v>46020.0</v>
      </c>
      <c r="B827" s="19" t="s">
        <v>1972</v>
      </c>
      <c r="C827" s="24">
        <v>3.513932904E9</v>
      </c>
      <c r="D827" s="19" t="s">
        <v>1973</v>
      </c>
      <c r="E827" s="19" t="s">
        <v>577</v>
      </c>
      <c r="F827" s="12" t="s">
        <v>17</v>
      </c>
      <c r="G827" s="14" t="s">
        <v>18</v>
      </c>
      <c r="H827" s="12" t="s">
        <v>740</v>
      </c>
      <c r="I827" s="19" t="s">
        <v>1974</v>
      </c>
      <c r="K827" s="14" t="s">
        <v>578</v>
      </c>
      <c r="L827" s="7" t="s">
        <v>579</v>
      </c>
      <c r="M827" s="7" t="s">
        <v>580</v>
      </c>
      <c r="N827" s="7" t="s">
        <v>585</v>
      </c>
    </row>
    <row r="828">
      <c r="A828" s="18">
        <v>46021.0</v>
      </c>
      <c r="B828" s="19" t="s">
        <v>1975</v>
      </c>
      <c r="C828" s="20">
        <f>+541167417270</f>
        <v>541167417270</v>
      </c>
      <c r="D828" s="19" t="s">
        <v>1976</v>
      </c>
      <c r="E828" s="19" t="s">
        <v>577</v>
      </c>
      <c r="F828" s="14" t="s">
        <v>21</v>
      </c>
      <c r="G828" s="19" t="s">
        <v>1045</v>
      </c>
      <c r="H828" s="12" t="s">
        <v>717</v>
      </c>
      <c r="I828" s="19" t="s">
        <v>1977</v>
      </c>
      <c r="K828" s="14" t="s">
        <v>578</v>
      </c>
      <c r="L828" s="7" t="s">
        <v>584</v>
      </c>
      <c r="M828" s="7" t="s">
        <v>1055</v>
      </c>
      <c r="N828" s="7" t="s">
        <v>581</v>
      </c>
    </row>
    <row r="829">
      <c r="A829" s="18">
        <v>46021.0</v>
      </c>
      <c r="B829" s="19" t="s">
        <v>1978</v>
      </c>
      <c r="C829" s="20">
        <f>+542616215454</f>
        <v>542616215454</v>
      </c>
      <c r="D829" s="19" t="s">
        <v>1979</v>
      </c>
      <c r="E829" s="14" t="s">
        <v>24</v>
      </c>
      <c r="F829" s="14" t="s">
        <v>21</v>
      </c>
      <c r="G829" s="14" t="s">
        <v>25</v>
      </c>
      <c r="H829" s="12" t="s">
        <v>717</v>
      </c>
      <c r="I829" s="19" t="s">
        <v>1021</v>
      </c>
      <c r="J829" s="5" t="s">
        <v>1783</v>
      </c>
      <c r="K829" s="14" t="s">
        <v>578</v>
      </c>
      <c r="L829" s="7" t="s">
        <v>579</v>
      </c>
      <c r="M829" s="7" t="s">
        <v>624</v>
      </c>
      <c r="N829" s="7" t="s">
        <v>585</v>
      </c>
    </row>
    <row r="830">
      <c r="A830" s="18">
        <v>46021.0</v>
      </c>
      <c r="B830" s="19" t="s">
        <v>1980</v>
      </c>
      <c r="C830" s="20">
        <f>+543525449022</f>
        <v>543525449022</v>
      </c>
      <c r="D830" s="19" t="s">
        <v>1981</v>
      </c>
      <c r="E830" s="14" t="s">
        <v>24</v>
      </c>
      <c r="F830" s="14" t="s">
        <v>21</v>
      </c>
      <c r="G830" s="14" t="s">
        <v>25</v>
      </c>
      <c r="H830" s="12" t="s">
        <v>727</v>
      </c>
      <c r="I830" s="19" t="s">
        <v>1914</v>
      </c>
      <c r="K830" s="14" t="s">
        <v>578</v>
      </c>
      <c r="L830" s="7" t="s">
        <v>579</v>
      </c>
      <c r="M830" s="7" t="s">
        <v>580</v>
      </c>
      <c r="N830" s="7" t="s">
        <v>581</v>
      </c>
    </row>
    <row r="831">
      <c r="A831" s="18">
        <v>46021.0</v>
      </c>
      <c r="B831" s="19" t="s">
        <v>1982</v>
      </c>
      <c r="C831" s="20">
        <f>+5493874416941</f>
        <v>5493874416941</v>
      </c>
      <c r="D831" s="19" t="s">
        <v>1983</v>
      </c>
      <c r="E831" s="14" t="s">
        <v>24</v>
      </c>
      <c r="F831" s="14" t="s">
        <v>21</v>
      </c>
      <c r="G831" s="14" t="s">
        <v>25</v>
      </c>
      <c r="H831" s="12" t="s">
        <v>740</v>
      </c>
      <c r="I831" s="19" t="s">
        <v>1546</v>
      </c>
      <c r="J831" s="5" t="s">
        <v>1984</v>
      </c>
      <c r="K831" s="14" t="s">
        <v>578</v>
      </c>
      <c r="L831" s="7" t="s">
        <v>579</v>
      </c>
      <c r="M831" s="7" t="s">
        <v>624</v>
      </c>
      <c r="N831" s="7" t="s">
        <v>581</v>
      </c>
    </row>
    <row r="832">
      <c r="A832" s="18">
        <v>46022.0</v>
      </c>
      <c r="B832" s="19" t="s">
        <v>1985</v>
      </c>
      <c r="C832" s="20">
        <f>+541168651244</f>
        <v>541168651244</v>
      </c>
      <c r="D832" s="19" t="s">
        <v>1986</v>
      </c>
      <c r="E832" s="14" t="s">
        <v>24</v>
      </c>
      <c r="F832" s="12" t="s">
        <v>17</v>
      </c>
      <c r="G832" s="14" t="s">
        <v>25</v>
      </c>
      <c r="H832" s="12" t="s">
        <v>717</v>
      </c>
      <c r="I832" s="19" t="s">
        <v>947</v>
      </c>
      <c r="K832" s="14" t="s">
        <v>578</v>
      </c>
      <c r="L832" s="7" t="s">
        <v>579</v>
      </c>
      <c r="M832" s="7" t="s">
        <v>1055</v>
      </c>
      <c r="N832" s="7" t="s">
        <v>585</v>
      </c>
    </row>
    <row r="833">
      <c r="A833" s="18">
        <v>46022.0</v>
      </c>
      <c r="B833" s="19" t="s">
        <v>1987</v>
      </c>
      <c r="C833" s="20">
        <f>+5491159374434</f>
        <v>5491159374434</v>
      </c>
      <c r="D833" s="19" t="s">
        <v>1988</v>
      </c>
      <c r="E833" s="14" t="s">
        <v>24</v>
      </c>
      <c r="F833" s="14" t="s">
        <v>21</v>
      </c>
      <c r="G833" s="14" t="s">
        <v>25</v>
      </c>
      <c r="H833" s="12" t="s">
        <v>717</v>
      </c>
      <c r="I833" s="19" t="s">
        <v>855</v>
      </c>
      <c r="J833" s="5" t="s">
        <v>1989</v>
      </c>
      <c r="K833" s="14" t="s">
        <v>578</v>
      </c>
      <c r="L833" s="7" t="s">
        <v>584</v>
      </c>
      <c r="M833" s="7" t="s">
        <v>580</v>
      </c>
      <c r="N833" s="7" t="s">
        <v>581</v>
      </c>
    </row>
    <row r="834">
      <c r="A834" s="18">
        <v>46022.0</v>
      </c>
      <c r="B834" s="19" t="s">
        <v>1990</v>
      </c>
      <c r="C834" s="20">
        <f>+543624610114</f>
        <v>543624610114</v>
      </c>
      <c r="D834" s="19" t="s">
        <v>1991</v>
      </c>
      <c r="E834" s="14" t="s">
        <v>16</v>
      </c>
      <c r="F834" s="14" t="s">
        <v>21</v>
      </c>
      <c r="G834" s="14" t="s">
        <v>18</v>
      </c>
      <c r="H834" s="12" t="s">
        <v>740</v>
      </c>
      <c r="I834" s="19" t="s">
        <v>731</v>
      </c>
      <c r="K834" s="14" t="s">
        <v>578</v>
      </c>
      <c r="L834" s="7" t="s">
        <v>579</v>
      </c>
      <c r="M834" s="7" t="s">
        <v>580</v>
      </c>
      <c r="N834" s="7" t="s">
        <v>585</v>
      </c>
    </row>
    <row r="835">
      <c r="A835" s="18">
        <v>46022.0</v>
      </c>
      <c r="B835" s="7" t="s">
        <v>1992</v>
      </c>
      <c r="C835" s="21">
        <f>+541156952900</f>
        <v>541156952900</v>
      </c>
      <c r="D835" s="7" t="s">
        <v>1993</v>
      </c>
      <c r="E835" s="14" t="s">
        <v>24</v>
      </c>
      <c r="F835" s="14" t="s">
        <v>21</v>
      </c>
      <c r="G835" s="14" t="s">
        <v>25</v>
      </c>
      <c r="H835" s="12" t="s">
        <v>717</v>
      </c>
      <c r="I835" s="19" t="s">
        <v>1994</v>
      </c>
      <c r="J835" s="5" t="s">
        <v>1783</v>
      </c>
      <c r="K835" s="14" t="s">
        <v>578</v>
      </c>
      <c r="L835" s="7" t="s">
        <v>584</v>
      </c>
      <c r="M835" s="7" t="s">
        <v>580</v>
      </c>
      <c r="N835" s="7" t="s">
        <v>581</v>
      </c>
    </row>
    <row r="836">
      <c r="A836" s="18">
        <v>46022.0</v>
      </c>
      <c r="B836" s="7" t="s">
        <v>1995</v>
      </c>
      <c r="C836" s="21">
        <f>+542346538545</f>
        <v>542346538545</v>
      </c>
      <c r="D836" s="7" t="s">
        <v>1996</v>
      </c>
      <c r="E836" s="14" t="s">
        <v>16</v>
      </c>
      <c r="F836" s="12" t="s">
        <v>17</v>
      </c>
      <c r="G836" s="14" t="s">
        <v>25</v>
      </c>
      <c r="H836" s="12" t="s">
        <v>745</v>
      </c>
      <c r="I836" s="19" t="s">
        <v>1997</v>
      </c>
      <c r="K836" s="14" t="s">
        <v>578</v>
      </c>
      <c r="L836" s="7" t="s">
        <v>579</v>
      </c>
      <c r="M836" s="7" t="s">
        <v>624</v>
      </c>
      <c r="N836" s="7" t="s">
        <v>581</v>
      </c>
    </row>
    <row r="837">
      <c r="A837" s="4">
        <v>46023.0</v>
      </c>
      <c r="B837" s="7" t="s">
        <v>1998</v>
      </c>
      <c r="C837" s="21">
        <f>+543413587730</f>
        <v>543413587730</v>
      </c>
      <c r="D837" s="7" t="s">
        <v>1999</v>
      </c>
      <c r="E837" s="14" t="s">
        <v>24</v>
      </c>
      <c r="F837" s="14" t="s">
        <v>21</v>
      </c>
      <c r="G837" s="14" t="s">
        <v>25</v>
      </c>
      <c r="H837" s="12" t="s">
        <v>717</v>
      </c>
      <c r="I837" s="7" t="s">
        <v>2000</v>
      </c>
      <c r="K837" s="14" t="s">
        <v>578</v>
      </c>
      <c r="L837" s="7" t="s">
        <v>579</v>
      </c>
      <c r="M837" s="7" t="s">
        <v>580</v>
      </c>
      <c r="N837" s="7" t="s">
        <v>585</v>
      </c>
    </row>
    <row r="838">
      <c r="A838" s="4">
        <v>46023.0</v>
      </c>
      <c r="B838" s="7" t="s">
        <v>2001</v>
      </c>
      <c r="C838" s="21">
        <f>+541167223762</f>
        <v>541167223762</v>
      </c>
      <c r="D838" s="7" t="s">
        <v>2002</v>
      </c>
      <c r="E838" s="14" t="s">
        <v>24</v>
      </c>
      <c r="F838" s="14" t="s">
        <v>32</v>
      </c>
      <c r="G838" s="14" t="s">
        <v>25</v>
      </c>
      <c r="H838" s="12" t="s">
        <v>727</v>
      </c>
      <c r="I838" s="7" t="s">
        <v>2003</v>
      </c>
      <c r="J838" s="5" t="s">
        <v>1783</v>
      </c>
      <c r="K838" s="14" t="s">
        <v>578</v>
      </c>
      <c r="L838" s="7" t="s">
        <v>584</v>
      </c>
      <c r="M838" s="7" t="s">
        <v>580</v>
      </c>
      <c r="N838" s="7" t="s">
        <v>581</v>
      </c>
    </row>
    <row r="839">
      <c r="A839" s="4">
        <v>46023.0</v>
      </c>
      <c r="B839" s="7" t="s">
        <v>2004</v>
      </c>
      <c r="C839" s="21">
        <f>+543471616437</f>
        <v>543471616437</v>
      </c>
      <c r="D839" s="7" t="s">
        <v>2005</v>
      </c>
      <c r="E839" s="14" t="s">
        <v>16</v>
      </c>
      <c r="F839" s="14" t="s">
        <v>32</v>
      </c>
      <c r="G839" s="14" t="s">
        <v>18</v>
      </c>
      <c r="H839" s="12" t="s">
        <v>745</v>
      </c>
      <c r="I839" s="7" t="s">
        <v>992</v>
      </c>
      <c r="K839" s="14" t="s">
        <v>578</v>
      </c>
      <c r="L839" s="7" t="s">
        <v>579</v>
      </c>
      <c r="M839" s="7" t="s">
        <v>610</v>
      </c>
      <c r="N839" s="7" t="s">
        <v>585</v>
      </c>
    </row>
    <row r="840">
      <c r="A840" s="4">
        <v>46023.0</v>
      </c>
      <c r="B840" s="7" t="s">
        <v>2006</v>
      </c>
      <c r="C840" s="23">
        <v>3.855436043E9</v>
      </c>
      <c r="D840" s="7" t="s">
        <v>2007</v>
      </c>
      <c r="E840" s="14" t="s">
        <v>24</v>
      </c>
      <c r="F840" s="14" t="s">
        <v>21</v>
      </c>
      <c r="G840" s="14" t="s">
        <v>25</v>
      </c>
      <c r="H840" s="12" t="s">
        <v>717</v>
      </c>
      <c r="I840" s="7" t="s">
        <v>1363</v>
      </c>
      <c r="J840" s="5" t="s">
        <v>1783</v>
      </c>
      <c r="K840" s="14" t="s">
        <v>578</v>
      </c>
      <c r="L840" s="7" t="s">
        <v>579</v>
      </c>
      <c r="M840" s="7" t="s">
        <v>610</v>
      </c>
      <c r="N840" s="7" t="s">
        <v>585</v>
      </c>
    </row>
    <row r="841">
      <c r="A841" s="4">
        <v>46023.0</v>
      </c>
      <c r="B841" s="7" t="s">
        <v>2008</v>
      </c>
      <c r="C841" s="21">
        <f>+543584243962</f>
        <v>543584243962</v>
      </c>
      <c r="D841" s="7" t="s">
        <v>2009</v>
      </c>
      <c r="E841" s="14" t="s">
        <v>16</v>
      </c>
      <c r="F841" s="14" t="s">
        <v>21</v>
      </c>
      <c r="G841" s="14" t="s">
        <v>25</v>
      </c>
      <c r="H841" s="12" t="s">
        <v>745</v>
      </c>
      <c r="I841" s="7" t="s">
        <v>818</v>
      </c>
      <c r="K841" s="14" t="s">
        <v>578</v>
      </c>
      <c r="L841" s="7" t="s">
        <v>584</v>
      </c>
      <c r="M841" s="7" t="s">
        <v>580</v>
      </c>
      <c r="N841" s="7" t="s">
        <v>585</v>
      </c>
    </row>
    <row r="842">
      <c r="A842" s="4">
        <v>46023.0</v>
      </c>
      <c r="B842" s="7" t="s">
        <v>2010</v>
      </c>
      <c r="C842" s="21">
        <f>+543804641053</f>
        <v>543804641053</v>
      </c>
      <c r="D842" s="7" t="s">
        <v>2011</v>
      </c>
      <c r="E842" s="7" t="s">
        <v>577</v>
      </c>
      <c r="F842" s="14" t="s">
        <v>21</v>
      </c>
      <c r="G842" s="14" t="s">
        <v>25</v>
      </c>
      <c r="H842" s="12" t="s">
        <v>717</v>
      </c>
      <c r="I842" s="7" t="s">
        <v>2012</v>
      </c>
      <c r="J842" s="5" t="s">
        <v>1783</v>
      </c>
      <c r="K842" s="14" t="s">
        <v>578</v>
      </c>
      <c r="L842" s="7" t="s">
        <v>579</v>
      </c>
      <c r="M842" s="7" t="s">
        <v>1055</v>
      </c>
      <c r="N842" s="7" t="s">
        <v>585</v>
      </c>
    </row>
    <row r="843">
      <c r="A843" s="18">
        <v>46024.0</v>
      </c>
      <c r="B843" s="19" t="s">
        <v>2013</v>
      </c>
      <c r="C843" s="20">
        <f>+5491164686858</f>
        <v>5491164686858</v>
      </c>
      <c r="D843" s="19" t="s">
        <v>2014</v>
      </c>
      <c r="E843" s="14" t="s">
        <v>24</v>
      </c>
      <c r="F843" s="14" t="s">
        <v>21</v>
      </c>
      <c r="G843" s="14" t="s">
        <v>18</v>
      </c>
      <c r="H843" s="12" t="s">
        <v>717</v>
      </c>
      <c r="I843" s="19" t="s">
        <v>2015</v>
      </c>
      <c r="J843" s="15"/>
      <c r="K843" s="14" t="s">
        <v>578</v>
      </c>
      <c r="L843" s="19" t="s">
        <v>584</v>
      </c>
      <c r="M843" s="19" t="s">
        <v>580</v>
      </c>
      <c r="N843" s="19" t="s">
        <v>581</v>
      </c>
    </row>
    <row r="844">
      <c r="A844" s="18">
        <v>46024.0</v>
      </c>
      <c r="B844" s="19" t="s">
        <v>2016</v>
      </c>
      <c r="C844" s="20">
        <f>+542974376228</f>
        <v>542974376228</v>
      </c>
      <c r="D844" s="19" t="s">
        <v>2017</v>
      </c>
      <c r="E844" s="14" t="s">
        <v>24</v>
      </c>
      <c r="F844" s="14" t="s">
        <v>21</v>
      </c>
      <c r="G844" s="14" t="s">
        <v>25</v>
      </c>
      <c r="H844" s="12" t="s">
        <v>717</v>
      </c>
      <c r="I844" s="19" t="s">
        <v>879</v>
      </c>
      <c r="J844" s="15"/>
      <c r="K844" s="14" t="s">
        <v>578</v>
      </c>
      <c r="L844" s="19" t="s">
        <v>579</v>
      </c>
      <c r="M844" s="19" t="s">
        <v>624</v>
      </c>
      <c r="N844" s="19" t="s">
        <v>585</v>
      </c>
    </row>
    <row r="845">
      <c r="A845" s="18">
        <v>46024.0</v>
      </c>
      <c r="B845" s="19" t="s">
        <v>2018</v>
      </c>
      <c r="C845" s="20">
        <f>+543816034912</f>
        <v>543816034912</v>
      </c>
      <c r="D845" s="19" t="s">
        <v>2019</v>
      </c>
      <c r="E845" s="14" t="s">
        <v>24</v>
      </c>
      <c r="F845" s="14" t="s">
        <v>32</v>
      </c>
      <c r="G845" s="14" t="s">
        <v>25</v>
      </c>
      <c r="H845" s="12" t="s">
        <v>717</v>
      </c>
      <c r="I845" s="19" t="s">
        <v>992</v>
      </c>
      <c r="J845" s="15"/>
      <c r="K845" s="14" t="s">
        <v>578</v>
      </c>
      <c r="L845" s="19" t="s">
        <v>579</v>
      </c>
      <c r="M845" s="19" t="s">
        <v>624</v>
      </c>
      <c r="N845" s="19" t="s">
        <v>585</v>
      </c>
    </row>
    <row r="846">
      <c r="A846" s="18">
        <v>46024.0</v>
      </c>
      <c r="B846" s="19" t="s">
        <v>2020</v>
      </c>
      <c r="C846" s="24">
        <v>2.80423996E8</v>
      </c>
      <c r="D846" s="19" t="s">
        <v>2021</v>
      </c>
      <c r="E846" s="14" t="s">
        <v>24</v>
      </c>
      <c r="F846" s="14" t="s">
        <v>21</v>
      </c>
      <c r="G846" s="14" t="s">
        <v>18</v>
      </c>
      <c r="H846" s="12" t="s">
        <v>740</v>
      </c>
      <c r="I846" s="19" t="s">
        <v>731</v>
      </c>
      <c r="J846" s="15"/>
      <c r="K846" s="14" t="s">
        <v>578</v>
      </c>
      <c r="L846" s="19" t="s">
        <v>579</v>
      </c>
      <c r="M846" s="19" t="s">
        <v>580</v>
      </c>
      <c r="N846" s="19" t="s">
        <v>585</v>
      </c>
    </row>
    <row r="847">
      <c r="A847" s="18">
        <v>46024.0</v>
      </c>
      <c r="B847" s="19" t="s">
        <v>2022</v>
      </c>
      <c r="C847" s="20">
        <f>+542302517401</f>
        <v>542302517401</v>
      </c>
      <c r="D847" s="19" t="s">
        <v>2023</v>
      </c>
      <c r="E847" s="14" t="s">
        <v>24</v>
      </c>
      <c r="F847" s="14" t="s">
        <v>21</v>
      </c>
      <c r="G847" s="14" t="s">
        <v>25</v>
      </c>
      <c r="H847" s="12" t="s">
        <v>717</v>
      </c>
      <c r="I847" s="19" t="s">
        <v>1005</v>
      </c>
      <c r="J847" s="15"/>
      <c r="K847" s="14" t="s">
        <v>578</v>
      </c>
      <c r="L847" s="19" t="s">
        <v>579</v>
      </c>
      <c r="M847" s="19" t="s">
        <v>624</v>
      </c>
      <c r="N847" s="19" t="s">
        <v>585</v>
      </c>
    </row>
    <row r="848">
      <c r="A848" s="18">
        <v>46024.0</v>
      </c>
      <c r="B848" s="19" t="s">
        <v>2024</v>
      </c>
      <c r="C848" s="20">
        <f>+542392603155</f>
        <v>542392603155</v>
      </c>
      <c r="D848" s="19" t="s">
        <v>2025</v>
      </c>
      <c r="E848" s="14" t="s">
        <v>16</v>
      </c>
      <c r="F848" s="14" t="s">
        <v>21</v>
      </c>
      <c r="G848" s="14" t="s">
        <v>18</v>
      </c>
      <c r="H848" s="12" t="s">
        <v>727</v>
      </c>
      <c r="I848" s="19" t="s">
        <v>2026</v>
      </c>
      <c r="J848" s="15"/>
      <c r="K848" s="14" t="s">
        <v>578</v>
      </c>
      <c r="L848" s="19" t="s">
        <v>579</v>
      </c>
      <c r="M848" s="19" t="s">
        <v>580</v>
      </c>
      <c r="N848" s="19" t="s">
        <v>581</v>
      </c>
    </row>
    <row r="849">
      <c r="A849" s="18">
        <v>46024.0</v>
      </c>
      <c r="B849" s="19" t="s">
        <v>2027</v>
      </c>
      <c r="C849" s="20">
        <f>+542994517034</f>
        <v>542994517034</v>
      </c>
      <c r="D849" s="19" t="s">
        <v>2028</v>
      </c>
      <c r="E849" s="14" t="s">
        <v>24</v>
      </c>
      <c r="F849" s="14" t="s">
        <v>21</v>
      </c>
      <c r="G849" s="14" t="s">
        <v>18</v>
      </c>
      <c r="H849" s="12" t="s">
        <v>717</v>
      </c>
      <c r="I849" s="19" t="s">
        <v>2029</v>
      </c>
      <c r="J849" s="15"/>
      <c r="K849" s="14" t="s">
        <v>578</v>
      </c>
      <c r="L849" s="19" t="s">
        <v>579</v>
      </c>
      <c r="M849" s="19" t="s">
        <v>580</v>
      </c>
      <c r="N849" s="19" t="s">
        <v>581</v>
      </c>
    </row>
    <row r="850">
      <c r="A850" s="18">
        <v>46024.0</v>
      </c>
      <c r="B850" s="19" t="s">
        <v>2030</v>
      </c>
      <c r="C850" s="20">
        <f>+543483464367</f>
        <v>543483464367</v>
      </c>
      <c r="D850" s="19" t="s">
        <v>2031</v>
      </c>
      <c r="E850" s="14" t="s">
        <v>24</v>
      </c>
      <c r="F850" s="14" t="s">
        <v>21</v>
      </c>
      <c r="G850" s="14" t="s">
        <v>18</v>
      </c>
      <c r="H850" s="12" t="s">
        <v>740</v>
      </c>
      <c r="I850" s="19" t="s">
        <v>731</v>
      </c>
      <c r="J850" s="15"/>
      <c r="K850" s="14" t="s">
        <v>578</v>
      </c>
      <c r="L850" s="19" t="s">
        <v>579</v>
      </c>
      <c r="M850" s="19" t="s">
        <v>580</v>
      </c>
      <c r="N850" s="19" t="s">
        <v>585</v>
      </c>
    </row>
    <row r="851">
      <c r="A851" s="18">
        <v>46024.0</v>
      </c>
      <c r="B851" s="19" t="s">
        <v>2032</v>
      </c>
      <c r="C851" s="20">
        <f>+543572441633</f>
        <v>543572441633</v>
      </c>
      <c r="D851" s="19" t="s">
        <v>2033</v>
      </c>
      <c r="E851" s="19" t="s">
        <v>577</v>
      </c>
      <c r="F851" s="14" t="s">
        <v>21</v>
      </c>
      <c r="G851" s="14" t="s">
        <v>18</v>
      </c>
      <c r="H851" s="12" t="s">
        <v>717</v>
      </c>
      <c r="I851" s="19" t="s">
        <v>920</v>
      </c>
      <c r="J851" s="15"/>
      <c r="K851" s="14" t="s">
        <v>578</v>
      </c>
      <c r="L851" s="19" t="s">
        <v>579</v>
      </c>
      <c r="M851" s="19" t="s">
        <v>580</v>
      </c>
      <c r="N851" s="19" t="s">
        <v>585</v>
      </c>
    </row>
    <row r="852">
      <c r="A852" s="18">
        <v>46024.0</v>
      </c>
      <c r="B852" s="19" t="s">
        <v>2034</v>
      </c>
      <c r="C852" s="20">
        <f>+543885760340</f>
        <v>543885760340</v>
      </c>
      <c r="D852" s="19" t="s">
        <v>2035</v>
      </c>
      <c r="E852" s="14" t="s">
        <v>24</v>
      </c>
      <c r="F852" s="14" t="s">
        <v>32</v>
      </c>
      <c r="G852" s="14" t="s">
        <v>25</v>
      </c>
      <c r="H852" s="12" t="s">
        <v>740</v>
      </c>
      <c r="I852" s="19" t="s">
        <v>1088</v>
      </c>
      <c r="J852" s="15"/>
      <c r="K852" s="14" t="s">
        <v>578</v>
      </c>
      <c r="L852" s="19" t="s">
        <v>579</v>
      </c>
      <c r="M852" s="19" t="s">
        <v>1386</v>
      </c>
      <c r="N852" s="19" t="s">
        <v>581</v>
      </c>
    </row>
    <row r="853">
      <c r="A853" s="18">
        <v>46025.0</v>
      </c>
      <c r="B853" s="19" t="s">
        <v>2036</v>
      </c>
      <c r="C853" s="20">
        <f>+542291463095</f>
        <v>542291463095</v>
      </c>
      <c r="D853" s="19" t="s">
        <v>2037</v>
      </c>
      <c r="E853" s="14" t="s">
        <v>24</v>
      </c>
      <c r="F853" s="14" t="s">
        <v>21</v>
      </c>
      <c r="G853" s="14" t="s">
        <v>18</v>
      </c>
      <c r="H853" s="12" t="s">
        <v>717</v>
      </c>
      <c r="I853" s="19" t="s">
        <v>885</v>
      </c>
      <c r="J853" s="15"/>
      <c r="K853" s="14" t="s">
        <v>578</v>
      </c>
      <c r="L853" s="19" t="s">
        <v>579</v>
      </c>
      <c r="M853" s="19" t="s">
        <v>580</v>
      </c>
      <c r="N853" s="19" t="s">
        <v>581</v>
      </c>
    </row>
    <row r="854">
      <c r="A854" s="18">
        <v>46025.0</v>
      </c>
      <c r="B854" s="19" t="s">
        <v>2038</v>
      </c>
      <c r="C854" s="20">
        <f>+541156386551</f>
        <v>541156386551</v>
      </c>
      <c r="D854" s="19" t="s">
        <v>2039</v>
      </c>
      <c r="E854" s="19" t="s">
        <v>577</v>
      </c>
      <c r="F854" s="14" t="s">
        <v>21</v>
      </c>
      <c r="G854" s="14" t="s">
        <v>25</v>
      </c>
      <c r="H854" s="12" t="s">
        <v>717</v>
      </c>
      <c r="I854" s="19" t="s">
        <v>2040</v>
      </c>
      <c r="J854" s="15"/>
      <c r="K854" s="14" t="s">
        <v>578</v>
      </c>
      <c r="L854" s="19" t="s">
        <v>579</v>
      </c>
      <c r="M854" s="19" t="s">
        <v>580</v>
      </c>
      <c r="N854" s="19" t="s">
        <v>581</v>
      </c>
    </row>
    <row r="855">
      <c r="A855" s="18">
        <v>46025.0</v>
      </c>
      <c r="B855" s="19" t="s">
        <v>2041</v>
      </c>
      <c r="C855" s="20">
        <f>+541159514123</f>
        <v>541159514123</v>
      </c>
      <c r="D855" s="19" t="s">
        <v>2042</v>
      </c>
      <c r="E855" s="14" t="s">
        <v>24</v>
      </c>
      <c r="F855" s="14" t="s">
        <v>21</v>
      </c>
      <c r="G855" s="14" t="s">
        <v>25</v>
      </c>
      <c r="H855" s="12" t="s">
        <v>717</v>
      </c>
      <c r="I855" s="19" t="s">
        <v>2043</v>
      </c>
      <c r="J855" s="15"/>
      <c r="K855" s="14" t="s">
        <v>578</v>
      </c>
      <c r="L855" s="19" t="s">
        <v>579</v>
      </c>
      <c r="M855" s="19" t="s">
        <v>580</v>
      </c>
      <c r="N855" s="19" t="s">
        <v>585</v>
      </c>
    </row>
    <row r="856">
      <c r="A856" s="18">
        <v>46025.0</v>
      </c>
      <c r="B856" s="19" t="s">
        <v>2044</v>
      </c>
      <c r="C856" s="20">
        <f>+542996350150</f>
        <v>542996350150</v>
      </c>
      <c r="D856" s="19" t="s">
        <v>2045</v>
      </c>
      <c r="E856" s="19" t="s">
        <v>577</v>
      </c>
      <c r="F856" s="14" t="s">
        <v>21</v>
      </c>
      <c r="G856" s="14" t="s">
        <v>18</v>
      </c>
      <c r="H856" s="12" t="s">
        <v>717</v>
      </c>
      <c r="I856" s="19" t="s">
        <v>818</v>
      </c>
      <c r="J856" s="15"/>
      <c r="K856" s="14" t="s">
        <v>578</v>
      </c>
      <c r="L856" s="19" t="s">
        <v>579</v>
      </c>
      <c r="M856" s="19" t="s">
        <v>580</v>
      </c>
      <c r="N856" s="19" t="s">
        <v>585</v>
      </c>
    </row>
    <row r="857">
      <c r="A857" s="18">
        <v>46025.0</v>
      </c>
      <c r="B857" s="19" t="s">
        <v>2046</v>
      </c>
      <c r="C857" s="20">
        <f>+5492314557270</f>
        <v>5492314557270</v>
      </c>
      <c r="D857" s="19" t="s">
        <v>2047</v>
      </c>
      <c r="E857" s="14" t="s">
        <v>24</v>
      </c>
      <c r="F857" s="14" t="s">
        <v>21</v>
      </c>
      <c r="G857" s="14" t="s">
        <v>18</v>
      </c>
      <c r="H857" s="12" t="s">
        <v>717</v>
      </c>
      <c r="I857" s="19" t="s">
        <v>2048</v>
      </c>
      <c r="J857" s="15"/>
      <c r="K857" s="14" t="s">
        <v>578</v>
      </c>
      <c r="L857" s="19" t="s">
        <v>579</v>
      </c>
      <c r="M857" s="19" t="s">
        <v>580</v>
      </c>
      <c r="N857" s="19" t="s">
        <v>585</v>
      </c>
    </row>
    <row r="858">
      <c r="A858" s="18">
        <v>46025.0</v>
      </c>
      <c r="B858" s="19" t="s">
        <v>2049</v>
      </c>
      <c r="C858" s="20">
        <f>+541131609922</f>
        <v>541131609922</v>
      </c>
      <c r="D858" s="19" t="s">
        <v>2050</v>
      </c>
      <c r="E858" s="14" t="s">
        <v>24</v>
      </c>
      <c r="F858" s="14" t="s">
        <v>21</v>
      </c>
      <c r="G858" s="14" t="s">
        <v>18</v>
      </c>
      <c r="H858" s="12" t="s">
        <v>717</v>
      </c>
      <c r="I858" s="19" t="s">
        <v>2051</v>
      </c>
      <c r="J858" s="15"/>
      <c r="K858" s="14" t="s">
        <v>578</v>
      </c>
      <c r="L858" s="19" t="s">
        <v>579</v>
      </c>
      <c r="M858" s="19" t="s">
        <v>580</v>
      </c>
      <c r="N858" s="19" t="s">
        <v>585</v>
      </c>
    </row>
    <row r="859">
      <c r="A859" s="18">
        <v>46025.0</v>
      </c>
      <c r="B859" s="19" t="s">
        <v>2052</v>
      </c>
      <c r="C859" s="20">
        <f>+542262659721</f>
        <v>542262659721</v>
      </c>
      <c r="D859" s="19" t="s">
        <v>2053</v>
      </c>
      <c r="E859" s="14" t="s">
        <v>24</v>
      </c>
      <c r="F859" s="14" t="s">
        <v>21</v>
      </c>
      <c r="G859" s="14" t="s">
        <v>18</v>
      </c>
      <c r="H859" s="12" t="s">
        <v>717</v>
      </c>
      <c r="I859" s="19" t="s">
        <v>2054</v>
      </c>
      <c r="J859" s="15"/>
      <c r="K859" s="14" t="s">
        <v>578</v>
      </c>
      <c r="L859" s="19" t="s">
        <v>579</v>
      </c>
      <c r="M859" s="19" t="s">
        <v>580</v>
      </c>
      <c r="N859" s="19" t="s">
        <v>585</v>
      </c>
    </row>
    <row r="860">
      <c r="A860" s="18">
        <v>46026.0</v>
      </c>
      <c r="B860" s="19" t="s">
        <v>2055</v>
      </c>
      <c r="C860" s="20">
        <f>+543436495457</f>
        <v>543436495457</v>
      </c>
      <c r="D860" s="19" t="s">
        <v>2056</v>
      </c>
      <c r="E860" s="14" t="s">
        <v>24</v>
      </c>
      <c r="F860" s="14" t="s">
        <v>21</v>
      </c>
      <c r="G860" s="14" t="s">
        <v>18</v>
      </c>
      <c r="H860" s="12" t="s">
        <v>717</v>
      </c>
      <c r="I860" s="19" t="s">
        <v>2057</v>
      </c>
      <c r="J860" s="14" t="s">
        <v>2058</v>
      </c>
      <c r="K860" s="14" t="s">
        <v>578</v>
      </c>
      <c r="L860" s="19" t="s">
        <v>579</v>
      </c>
      <c r="M860" s="19" t="s">
        <v>580</v>
      </c>
      <c r="N860" s="19" t="s">
        <v>585</v>
      </c>
    </row>
    <row r="861">
      <c r="A861" s="18">
        <v>46026.0</v>
      </c>
      <c r="B861" s="19" t="s">
        <v>2059</v>
      </c>
      <c r="C861" s="20">
        <f>+543584027177</f>
        <v>543584027177</v>
      </c>
      <c r="D861" s="19" t="s">
        <v>2060</v>
      </c>
      <c r="E861" s="19" t="s">
        <v>577</v>
      </c>
      <c r="F861" s="14" t="s">
        <v>21</v>
      </c>
      <c r="G861" s="14" t="s">
        <v>18</v>
      </c>
      <c r="H861" s="12" t="s">
        <v>717</v>
      </c>
      <c r="I861" s="19" t="s">
        <v>734</v>
      </c>
      <c r="J861" s="15"/>
      <c r="K861" s="14" t="s">
        <v>578</v>
      </c>
      <c r="L861" s="19" t="s">
        <v>579</v>
      </c>
      <c r="M861" s="19" t="s">
        <v>580</v>
      </c>
      <c r="N861" s="19" t="s">
        <v>585</v>
      </c>
    </row>
    <row r="862">
      <c r="A862" s="18">
        <v>46026.0</v>
      </c>
      <c r="B862" s="19" t="s">
        <v>2061</v>
      </c>
      <c r="C862" s="20">
        <f>+5493876103228</f>
        <v>5493876103228</v>
      </c>
      <c r="D862" s="19" t="s">
        <v>2062</v>
      </c>
      <c r="E862" s="19" t="s">
        <v>577</v>
      </c>
      <c r="F862" s="14" t="s">
        <v>21</v>
      </c>
      <c r="G862" s="14" t="s">
        <v>18</v>
      </c>
      <c r="H862" s="12" t="s">
        <v>717</v>
      </c>
      <c r="I862" s="19" t="s">
        <v>2063</v>
      </c>
      <c r="J862" s="15"/>
      <c r="K862" s="14" t="s">
        <v>578</v>
      </c>
      <c r="L862" s="19" t="s">
        <v>579</v>
      </c>
      <c r="M862" s="19" t="s">
        <v>580</v>
      </c>
      <c r="N862" s="19" t="s">
        <v>585</v>
      </c>
    </row>
    <row r="863">
      <c r="A863" s="18">
        <v>46026.0</v>
      </c>
      <c r="B863" s="19" t="s">
        <v>2064</v>
      </c>
      <c r="C863" s="20">
        <f>+542994115652</f>
        <v>542994115652</v>
      </c>
      <c r="D863" s="19" t="s">
        <v>2065</v>
      </c>
      <c r="E863" s="14" t="s">
        <v>24</v>
      </c>
      <c r="F863" s="14" t="s">
        <v>21</v>
      </c>
      <c r="G863" s="14" t="s">
        <v>25</v>
      </c>
      <c r="H863" s="12" t="s">
        <v>740</v>
      </c>
      <c r="I863" s="19" t="s">
        <v>2066</v>
      </c>
      <c r="J863" s="15"/>
      <c r="K863" s="14" t="s">
        <v>578</v>
      </c>
      <c r="L863" s="19" t="s">
        <v>579</v>
      </c>
      <c r="M863" s="19" t="s">
        <v>580</v>
      </c>
      <c r="N863" s="19" t="s">
        <v>581</v>
      </c>
    </row>
    <row r="864">
      <c r="A864" s="18">
        <v>46026.0</v>
      </c>
      <c r="B864" s="19" t="s">
        <v>2067</v>
      </c>
      <c r="C864" s="20">
        <f>+543764329535</f>
        <v>543764329535</v>
      </c>
      <c r="D864" s="19" t="s">
        <v>2068</v>
      </c>
      <c r="E864" s="19" t="s">
        <v>1841</v>
      </c>
      <c r="F864" s="14" t="s">
        <v>21</v>
      </c>
      <c r="G864" s="14" t="s">
        <v>18</v>
      </c>
      <c r="H864" s="12" t="s">
        <v>727</v>
      </c>
      <c r="I864" s="19" t="s">
        <v>734</v>
      </c>
      <c r="J864" s="15"/>
      <c r="K864" s="14" t="s">
        <v>578</v>
      </c>
      <c r="L864" s="19" t="s">
        <v>584</v>
      </c>
      <c r="M864" s="19" t="s">
        <v>580</v>
      </c>
      <c r="N864" s="19" t="s">
        <v>585</v>
      </c>
    </row>
    <row r="865">
      <c r="A865" s="18">
        <v>46026.0</v>
      </c>
      <c r="B865" s="19" t="s">
        <v>2069</v>
      </c>
      <c r="C865" s="20">
        <f>+541141963739</f>
        <v>541141963739</v>
      </c>
      <c r="D865" s="19" t="s">
        <v>2070</v>
      </c>
      <c r="E865" s="14" t="s">
        <v>24</v>
      </c>
      <c r="F865" s="12" t="s">
        <v>17</v>
      </c>
      <c r="G865" s="14" t="s">
        <v>25</v>
      </c>
      <c r="H865" s="12" t="s">
        <v>717</v>
      </c>
      <c r="I865" s="19" t="s">
        <v>2071</v>
      </c>
      <c r="J865" s="15"/>
      <c r="K865" s="14" t="s">
        <v>578</v>
      </c>
      <c r="L865" s="19" t="s">
        <v>584</v>
      </c>
      <c r="M865" s="19" t="s">
        <v>580</v>
      </c>
      <c r="N865" s="19" t="s">
        <v>585</v>
      </c>
    </row>
    <row r="866">
      <c r="A866" s="18">
        <v>46026.0</v>
      </c>
      <c r="B866" s="19" t="s">
        <v>2072</v>
      </c>
      <c r="C866" s="20">
        <f>+542625577309</f>
        <v>542625577309</v>
      </c>
      <c r="D866" s="19" t="s">
        <v>2073</v>
      </c>
      <c r="E866" s="19" t="s">
        <v>577</v>
      </c>
      <c r="F866" s="14" t="s">
        <v>21</v>
      </c>
      <c r="G866" s="14" t="s">
        <v>25</v>
      </c>
      <c r="H866" s="12" t="s">
        <v>717</v>
      </c>
      <c r="I866" s="19" t="s">
        <v>2074</v>
      </c>
      <c r="J866" s="15"/>
      <c r="K866" s="14" t="s">
        <v>578</v>
      </c>
      <c r="L866" s="19" t="s">
        <v>579</v>
      </c>
      <c r="M866" s="19" t="s">
        <v>580</v>
      </c>
      <c r="N866" s="19" t="s">
        <v>585</v>
      </c>
    </row>
    <row r="867">
      <c r="A867" s="4">
        <v>46026.0</v>
      </c>
      <c r="B867" s="7" t="s">
        <v>2075</v>
      </c>
      <c r="C867" s="21">
        <f>+543416658203</f>
        <v>543416658203</v>
      </c>
      <c r="D867" s="7" t="s">
        <v>2076</v>
      </c>
      <c r="E867" s="14" t="s">
        <v>24</v>
      </c>
      <c r="F867" s="14" t="s">
        <v>21</v>
      </c>
      <c r="G867" s="14" t="s">
        <v>18</v>
      </c>
      <c r="H867" s="12" t="s">
        <v>727</v>
      </c>
      <c r="I867" s="7" t="s">
        <v>734</v>
      </c>
      <c r="K867" s="14" t="s">
        <v>578</v>
      </c>
      <c r="L867" s="7" t="s">
        <v>579</v>
      </c>
      <c r="M867" s="7" t="s">
        <v>580</v>
      </c>
      <c r="N867" s="7" t="s">
        <v>585</v>
      </c>
    </row>
    <row r="868">
      <c r="A868" s="4">
        <v>46026.0</v>
      </c>
      <c r="B868" s="7" t="s">
        <v>2077</v>
      </c>
      <c r="C868" s="21">
        <f>+5492995500537</f>
        <v>5492995500537</v>
      </c>
      <c r="D868" s="7" t="s">
        <v>2078</v>
      </c>
      <c r="E868" s="7" t="s">
        <v>577</v>
      </c>
      <c r="F868" s="14" t="s">
        <v>21</v>
      </c>
      <c r="G868" s="14" t="s">
        <v>18</v>
      </c>
      <c r="H868" s="12" t="s">
        <v>717</v>
      </c>
      <c r="I868" s="7" t="s">
        <v>2079</v>
      </c>
      <c r="K868" s="14" t="s">
        <v>578</v>
      </c>
      <c r="L868" s="7" t="s">
        <v>579</v>
      </c>
      <c r="M868" s="7" t="s">
        <v>580</v>
      </c>
      <c r="N868" s="7" t="s">
        <v>581</v>
      </c>
    </row>
    <row r="869">
      <c r="A869" s="4">
        <v>46026.0</v>
      </c>
      <c r="B869" s="7" t="s">
        <v>2080</v>
      </c>
      <c r="C869" s="21">
        <f>+541164224316</f>
        <v>541164224316</v>
      </c>
      <c r="D869" s="7" t="s">
        <v>2081</v>
      </c>
      <c r="E869" s="7" t="s">
        <v>577</v>
      </c>
      <c r="F869" s="14" t="s">
        <v>21</v>
      </c>
      <c r="G869" s="14" t="s">
        <v>25</v>
      </c>
      <c r="H869" s="12" t="s">
        <v>717</v>
      </c>
      <c r="I869" s="7" t="s">
        <v>885</v>
      </c>
      <c r="K869" s="14" t="s">
        <v>578</v>
      </c>
      <c r="L869" s="7" t="s">
        <v>584</v>
      </c>
      <c r="M869" s="7" t="s">
        <v>580</v>
      </c>
      <c r="N869" s="7" t="s">
        <v>581</v>
      </c>
    </row>
    <row r="870">
      <c r="A870" s="4">
        <v>46026.0</v>
      </c>
      <c r="B870" s="7" t="s">
        <v>2082</v>
      </c>
      <c r="C870" s="21">
        <f>+543815550924</f>
        <v>543815550924</v>
      </c>
      <c r="D870" s="7" t="s">
        <v>2083</v>
      </c>
      <c r="E870" s="14" t="s">
        <v>16</v>
      </c>
      <c r="F870" s="14" t="s">
        <v>21</v>
      </c>
      <c r="G870" s="14" t="s">
        <v>18</v>
      </c>
      <c r="H870" s="12" t="s">
        <v>717</v>
      </c>
      <c r="I870" s="7" t="s">
        <v>770</v>
      </c>
      <c r="K870" s="14" t="s">
        <v>578</v>
      </c>
      <c r="L870" s="7" t="s">
        <v>579</v>
      </c>
      <c r="M870" s="7" t="s">
        <v>580</v>
      </c>
      <c r="N870" s="7" t="s">
        <v>585</v>
      </c>
    </row>
    <row r="871">
      <c r="A871" s="4">
        <v>46027.0</v>
      </c>
      <c r="B871" s="7" t="s">
        <v>2084</v>
      </c>
      <c r="C871" s="21">
        <f>+541150617035</f>
        <v>541150617035</v>
      </c>
      <c r="D871" s="7" t="s">
        <v>2085</v>
      </c>
      <c r="E871" s="14" t="s">
        <v>16</v>
      </c>
      <c r="F871" s="12" t="s">
        <v>17</v>
      </c>
      <c r="G871" s="14" t="s">
        <v>25</v>
      </c>
      <c r="H871" s="12" t="s">
        <v>745</v>
      </c>
      <c r="I871" s="7" t="s">
        <v>728</v>
      </c>
      <c r="J871" s="5" t="s">
        <v>2086</v>
      </c>
      <c r="K871" s="14" t="s">
        <v>578</v>
      </c>
      <c r="L871" s="7" t="s">
        <v>584</v>
      </c>
      <c r="M871" s="7" t="s">
        <v>624</v>
      </c>
      <c r="N871" s="7" t="s">
        <v>581</v>
      </c>
    </row>
    <row r="872">
      <c r="A872" s="4">
        <v>46027.0</v>
      </c>
      <c r="B872" s="7" t="s">
        <v>2087</v>
      </c>
      <c r="C872" s="21">
        <f>+541133782621</f>
        <v>541133782621</v>
      </c>
      <c r="D872" s="7" t="s">
        <v>2088</v>
      </c>
      <c r="E872" s="14" t="s">
        <v>16</v>
      </c>
      <c r="F872" s="14" t="s">
        <v>21</v>
      </c>
      <c r="G872" s="14" t="s">
        <v>25</v>
      </c>
      <c r="H872" s="12" t="s">
        <v>717</v>
      </c>
      <c r="I872" s="7" t="s">
        <v>1583</v>
      </c>
      <c r="K872" s="14" t="s">
        <v>578</v>
      </c>
      <c r="L872" s="7" t="s">
        <v>579</v>
      </c>
      <c r="M872" s="7" t="s">
        <v>580</v>
      </c>
      <c r="N872" s="7" t="s">
        <v>585</v>
      </c>
    </row>
    <row r="873">
      <c r="A873" s="4">
        <v>46027.0</v>
      </c>
      <c r="B873" s="7" t="s">
        <v>2089</v>
      </c>
      <c r="C873" s="21">
        <f>+541170173816</f>
        <v>541170173816</v>
      </c>
      <c r="D873" s="7" t="s">
        <v>2090</v>
      </c>
      <c r="E873" s="14" t="s">
        <v>16</v>
      </c>
      <c r="F873" s="14" t="s">
        <v>32</v>
      </c>
      <c r="G873" s="14" t="s">
        <v>25</v>
      </c>
      <c r="H873" s="12" t="s">
        <v>727</v>
      </c>
      <c r="I873" s="7" t="s">
        <v>2091</v>
      </c>
      <c r="J873" s="5" t="s">
        <v>2092</v>
      </c>
      <c r="K873" s="14" t="s">
        <v>578</v>
      </c>
      <c r="L873" s="7" t="s">
        <v>584</v>
      </c>
      <c r="M873" s="7" t="s">
        <v>624</v>
      </c>
      <c r="N873" s="7" t="s">
        <v>585</v>
      </c>
    </row>
    <row r="874">
      <c r="A874" s="4">
        <v>46027.0</v>
      </c>
      <c r="B874" s="7" t="s">
        <v>2093</v>
      </c>
      <c r="C874" s="21">
        <f>+5492235656333</f>
        <v>5492235656333</v>
      </c>
      <c r="D874" s="7" t="s">
        <v>108</v>
      </c>
      <c r="E874" s="7" t="s">
        <v>577</v>
      </c>
      <c r="F874" s="14" t="s">
        <v>21</v>
      </c>
      <c r="G874" s="14" t="s">
        <v>18</v>
      </c>
      <c r="H874" s="12" t="s">
        <v>740</v>
      </c>
      <c r="I874" s="7" t="s">
        <v>2094</v>
      </c>
      <c r="J874" s="5" t="s">
        <v>2095</v>
      </c>
      <c r="K874" s="14" t="s">
        <v>578</v>
      </c>
      <c r="L874" s="7" t="s">
        <v>579</v>
      </c>
      <c r="M874" s="7" t="s">
        <v>580</v>
      </c>
      <c r="N874" s="7" t="s">
        <v>585</v>
      </c>
    </row>
    <row r="875">
      <c r="A875" s="4">
        <v>46027.0</v>
      </c>
      <c r="B875" s="7" t="s">
        <v>2096</v>
      </c>
      <c r="C875" s="21">
        <f>+541176450000</f>
        <v>541176450000</v>
      </c>
      <c r="D875" s="7" t="s">
        <v>2097</v>
      </c>
      <c r="E875" s="14" t="s">
        <v>24</v>
      </c>
      <c r="F875" s="14" t="s">
        <v>21</v>
      </c>
      <c r="G875" s="19" t="s">
        <v>1045</v>
      </c>
      <c r="H875" s="12" t="s">
        <v>740</v>
      </c>
      <c r="I875" s="7" t="s">
        <v>972</v>
      </c>
      <c r="J875" s="5" t="s">
        <v>2098</v>
      </c>
      <c r="K875" s="14" t="s">
        <v>578</v>
      </c>
      <c r="L875" s="7" t="s">
        <v>584</v>
      </c>
      <c r="M875" s="7" t="s">
        <v>624</v>
      </c>
      <c r="N875" s="7" t="s">
        <v>581</v>
      </c>
    </row>
    <row r="876">
      <c r="A876" s="4">
        <v>46027.0</v>
      </c>
      <c r="B876" s="7" t="s">
        <v>2099</v>
      </c>
      <c r="C876" s="21">
        <f>+541133111630</f>
        <v>541133111630</v>
      </c>
      <c r="D876" s="7" t="s">
        <v>2100</v>
      </c>
      <c r="E876" s="14" t="s">
        <v>24</v>
      </c>
      <c r="F876" s="14" t="s">
        <v>21</v>
      </c>
      <c r="G876" s="14" t="s">
        <v>25</v>
      </c>
      <c r="H876" s="12" t="s">
        <v>717</v>
      </c>
      <c r="I876" s="7" t="s">
        <v>2101</v>
      </c>
      <c r="J876" s="5" t="s">
        <v>2098</v>
      </c>
      <c r="K876" s="14" t="s">
        <v>578</v>
      </c>
      <c r="L876" s="7" t="s">
        <v>584</v>
      </c>
      <c r="M876" s="7" t="s">
        <v>624</v>
      </c>
      <c r="N876" s="7" t="s">
        <v>581</v>
      </c>
    </row>
    <row r="877">
      <c r="A877" s="4">
        <v>46027.0</v>
      </c>
      <c r="B877" s="7" t="s">
        <v>2102</v>
      </c>
      <c r="C877" s="21">
        <f>+5493572444070</f>
        <v>5493572444070</v>
      </c>
      <c r="D877" s="7" t="s">
        <v>2103</v>
      </c>
      <c r="E877" s="14" t="s">
        <v>16</v>
      </c>
      <c r="F877" s="14" t="s">
        <v>21</v>
      </c>
      <c r="G877" s="14" t="s">
        <v>18</v>
      </c>
      <c r="H877" s="12" t="s">
        <v>727</v>
      </c>
      <c r="I877" s="7" t="s">
        <v>731</v>
      </c>
      <c r="J877" s="5" t="s">
        <v>2098</v>
      </c>
      <c r="K877" s="14" t="s">
        <v>578</v>
      </c>
      <c r="L877" s="7" t="s">
        <v>579</v>
      </c>
      <c r="M877" s="7" t="s">
        <v>580</v>
      </c>
      <c r="N877" s="7" t="s">
        <v>585</v>
      </c>
    </row>
    <row r="878">
      <c r="A878" s="4">
        <v>46027.0</v>
      </c>
      <c r="B878" s="7" t="s">
        <v>1609</v>
      </c>
      <c r="C878" s="21">
        <f>+5493547325311</f>
        <v>5493547325311</v>
      </c>
      <c r="D878" s="7" t="s">
        <v>2104</v>
      </c>
      <c r="E878" s="14" t="s">
        <v>24</v>
      </c>
      <c r="F878" s="14" t="s">
        <v>21</v>
      </c>
      <c r="G878" s="14" t="s">
        <v>18</v>
      </c>
      <c r="H878" s="12" t="s">
        <v>740</v>
      </c>
      <c r="I878" s="7" t="s">
        <v>2105</v>
      </c>
      <c r="J878" s="5" t="s">
        <v>2106</v>
      </c>
      <c r="K878" s="14" t="s">
        <v>578</v>
      </c>
      <c r="L878" s="7" t="s">
        <v>579</v>
      </c>
      <c r="M878" s="7" t="s">
        <v>580</v>
      </c>
      <c r="N878" s="7" t="s">
        <v>585</v>
      </c>
    </row>
    <row r="879">
      <c r="A879" s="4">
        <v>46027.0</v>
      </c>
      <c r="B879" s="7" t="s">
        <v>2107</v>
      </c>
      <c r="C879" s="21">
        <f>+542974203316</f>
        <v>542974203316</v>
      </c>
      <c r="D879" s="7" t="s">
        <v>2108</v>
      </c>
      <c r="E879" s="14" t="s">
        <v>16</v>
      </c>
      <c r="F879" s="14" t="s">
        <v>21</v>
      </c>
      <c r="G879" s="14" t="s">
        <v>18</v>
      </c>
      <c r="H879" s="12" t="s">
        <v>717</v>
      </c>
      <c r="I879" s="7" t="s">
        <v>2109</v>
      </c>
      <c r="J879" s="5" t="s">
        <v>2106</v>
      </c>
      <c r="K879" s="14" t="s">
        <v>578</v>
      </c>
      <c r="L879" s="7" t="s">
        <v>579</v>
      </c>
      <c r="M879" s="7" t="s">
        <v>580</v>
      </c>
      <c r="N879" s="7" t="s">
        <v>581</v>
      </c>
    </row>
    <row r="880">
      <c r="A880" s="4">
        <v>46027.0</v>
      </c>
      <c r="B880" s="7" t="s">
        <v>2110</v>
      </c>
      <c r="C880" s="21">
        <f>+541126145398</f>
        <v>541126145398</v>
      </c>
      <c r="D880" s="7" t="s">
        <v>2111</v>
      </c>
      <c r="E880" s="14" t="s">
        <v>24</v>
      </c>
      <c r="F880" s="14" t="s">
        <v>21</v>
      </c>
      <c r="G880" s="14" t="s">
        <v>25</v>
      </c>
      <c r="H880" s="12" t="s">
        <v>717</v>
      </c>
      <c r="I880" s="7" t="s">
        <v>2112</v>
      </c>
      <c r="J880" s="5" t="s">
        <v>2106</v>
      </c>
      <c r="K880" s="14" t="s">
        <v>578</v>
      </c>
      <c r="L880" s="7" t="s">
        <v>584</v>
      </c>
      <c r="M880" s="7" t="s">
        <v>580</v>
      </c>
      <c r="N880" s="7" t="s">
        <v>581</v>
      </c>
    </row>
    <row r="881">
      <c r="A881" s="4">
        <v>46028.0</v>
      </c>
      <c r="B881" s="7" t="s">
        <v>2113</v>
      </c>
      <c r="C881" s="21">
        <f>+541125180510</f>
        <v>541125180510</v>
      </c>
      <c r="D881" s="7" t="s">
        <v>2114</v>
      </c>
      <c r="E881" s="14" t="s">
        <v>24</v>
      </c>
      <c r="F881" s="14" t="s">
        <v>21</v>
      </c>
      <c r="G881" s="14" t="s">
        <v>18</v>
      </c>
      <c r="H881" s="12" t="s">
        <v>717</v>
      </c>
      <c r="I881" s="7" t="s">
        <v>2115</v>
      </c>
      <c r="J881" s="5" t="s">
        <v>2106</v>
      </c>
      <c r="K881" s="14" t="s">
        <v>578</v>
      </c>
      <c r="L881" s="7" t="s">
        <v>584</v>
      </c>
      <c r="M881" s="7" t="s">
        <v>624</v>
      </c>
      <c r="N881" s="7" t="s">
        <v>581</v>
      </c>
    </row>
    <row r="882">
      <c r="A882" s="4">
        <v>46028.0</v>
      </c>
      <c r="B882" s="7" t="s">
        <v>2116</v>
      </c>
      <c r="C882" s="21">
        <f>+541128759569</f>
        <v>541128759569</v>
      </c>
      <c r="D882" s="7" t="s">
        <v>2117</v>
      </c>
      <c r="E882" s="14" t="s">
        <v>24</v>
      </c>
      <c r="F882" s="14" t="s">
        <v>21</v>
      </c>
      <c r="G882" s="14" t="s">
        <v>25</v>
      </c>
      <c r="H882" s="12" t="s">
        <v>717</v>
      </c>
      <c r="I882" s="7" t="s">
        <v>2118</v>
      </c>
      <c r="J882" s="5" t="s">
        <v>2119</v>
      </c>
      <c r="K882" s="14" t="s">
        <v>578</v>
      </c>
      <c r="L882" s="7" t="s">
        <v>584</v>
      </c>
      <c r="M882" s="7" t="s">
        <v>624</v>
      </c>
      <c r="N882" s="7" t="s">
        <v>581</v>
      </c>
    </row>
    <row r="883">
      <c r="A883" s="4">
        <v>46028.0</v>
      </c>
      <c r="B883" s="7" t="s">
        <v>2120</v>
      </c>
      <c r="C883" s="21">
        <f>+5493493441834</f>
        <v>5493493441834</v>
      </c>
      <c r="D883" s="7" t="s">
        <v>2121</v>
      </c>
      <c r="E883" s="14" t="s">
        <v>16</v>
      </c>
      <c r="F883" s="14" t="s">
        <v>21</v>
      </c>
      <c r="G883" s="14" t="s">
        <v>25</v>
      </c>
      <c r="H883" s="12" t="s">
        <v>745</v>
      </c>
      <c r="I883" s="7" t="s">
        <v>2122</v>
      </c>
      <c r="J883" s="5" t="s">
        <v>2106</v>
      </c>
      <c r="K883" s="14" t="s">
        <v>578</v>
      </c>
      <c r="L883" s="7" t="s">
        <v>579</v>
      </c>
      <c r="M883" s="7" t="s">
        <v>580</v>
      </c>
      <c r="N883" s="7" t="s">
        <v>581</v>
      </c>
    </row>
    <row r="884">
      <c r="A884" s="4">
        <v>46029.0</v>
      </c>
      <c r="B884" s="7" t="s">
        <v>2123</v>
      </c>
      <c r="C884" s="21">
        <f>+543874630875</f>
        <v>543874630875</v>
      </c>
      <c r="D884" s="7" t="s">
        <v>2124</v>
      </c>
      <c r="E884" s="14" t="s">
        <v>16</v>
      </c>
      <c r="F884" s="14" t="s">
        <v>21</v>
      </c>
      <c r="G884" s="14" t="s">
        <v>18</v>
      </c>
      <c r="H884" s="12" t="s">
        <v>717</v>
      </c>
      <c r="I884" s="7" t="s">
        <v>2125</v>
      </c>
      <c r="J884" s="5" t="s">
        <v>2126</v>
      </c>
      <c r="K884" s="14" t="s">
        <v>578</v>
      </c>
      <c r="L884" s="7" t="s">
        <v>579</v>
      </c>
      <c r="M884" s="7" t="s">
        <v>610</v>
      </c>
      <c r="N884" s="7" t="s">
        <v>585</v>
      </c>
    </row>
    <row r="885">
      <c r="A885" s="4">
        <v>46029.0</v>
      </c>
      <c r="B885" s="7" t="s">
        <v>2127</v>
      </c>
      <c r="C885" s="21">
        <f>+543576445823</f>
        <v>543576445823</v>
      </c>
      <c r="D885" s="7" t="s">
        <v>2128</v>
      </c>
      <c r="E885" s="14" t="s">
        <v>24</v>
      </c>
      <c r="F885" s="14" t="s">
        <v>21</v>
      </c>
      <c r="G885" s="14" t="s">
        <v>25</v>
      </c>
      <c r="H885" s="12" t="s">
        <v>717</v>
      </c>
      <c r="I885" s="7" t="s">
        <v>2129</v>
      </c>
      <c r="J885" s="5" t="s">
        <v>2106</v>
      </c>
      <c r="K885" s="14" t="s">
        <v>578</v>
      </c>
      <c r="L885" s="7" t="s">
        <v>579</v>
      </c>
      <c r="M885" s="7" t="s">
        <v>610</v>
      </c>
      <c r="N885" s="7" t="s">
        <v>585</v>
      </c>
    </row>
    <row r="886">
      <c r="A886" s="4">
        <v>46029.0</v>
      </c>
      <c r="B886" s="7" t="s">
        <v>2130</v>
      </c>
      <c r="C886" s="21">
        <f>+543564389692</f>
        <v>543564389692</v>
      </c>
      <c r="D886" s="7" t="s">
        <v>2131</v>
      </c>
      <c r="E886" s="14" t="s">
        <v>24</v>
      </c>
      <c r="F886" s="14" t="s">
        <v>21</v>
      </c>
      <c r="G886" s="14" t="s">
        <v>25</v>
      </c>
      <c r="H886" s="12" t="s">
        <v>717</v>
      </c>
      <c r="I886" s="7" t="s">
        <v>2132</v>
      </c>
      <c r="J886" s="5" t="s">
        <v>2106</v>
      </c>
      <c r="K886" s="14" t="s">
        <v>578</v>
      </c>
      <c r="L886" s="7" t="s">
        <v>579</v>
      </c>
      <c r="M886" s="7" t="s">
        <v>610</v>
      </c>
      <c r="N886" s="7" t="s">
        <v>585</v>
      </c>
    </row>
    <row r="887">
      <c r="A887" s="4">
        <v>46029.0</v>
      </c>
      <c r="B887" s="7" t="s">
        <v>2133</v>
      </c>
      <c r="C887" s="21">
        <f>+5492266462404</f>
        <v>5492266462404</v>
      </c>
      <c r="D887" s="7" t="s">
        <v>2134</v>
      </c>
      <c r="E887" s="14" t="s">
        <v>24</v>
      </c>
      <c r="F887" s="14" t="s">
        <v>21</v>
      </c>
      <c r="G887" s="14" t="s">
        <v>25</v>
      </c>
      <c r="H887" s="12" t="s">
        <v>740</v>
      </c>
      <c r="I887" s="7" t="s">
        <v>879</v>
      </c>
      <c r="J887" s="5" t="s">
        <v>2106</v>
      </c>
      <c r="K887" s="14" t="s">
        <v>578</v>
      </c>
      <c r="L887" s="7" t="s">
        <v>579</v>
      </c>
      <c r="M887" s="7" t="s">
        <v>610</v>
      </c>
      <c r="N887" s="7" t="s">
        <v>585</v>
      </c>
    </row>
    <row r="888">
      <c r="A888" s="4">
        <v>46029.0</v>
      </c>
      <c r="B888" s="7" t="s">
        <v>2135</v>
      </c>
      <c r="C888" s="21">
        <f>+543814185163</f>
        <v>543814185163</v>
      </c>
      <c r="D888" s="7" t="s">
        <v>2136</v>
      </c>
      <c r="E888" s="7" t="s">
        <v>577</v>
      </c>
      <c r="F888" s="14" t="s">
        <v>21</v>
      </c>
      <c r="G888" s="14" t="s">
        <v>18</v>
      </c>
      <c r="H888" s="12" t="s">
        <v>717</v>
      </c>
      <c r="I888" s="7" t="s">
        <v>767</v>
      </c>
      <c r="J888" s="5" t="s">
        <v>2106</v>
      </c>
      <c r="K888" s="14" t="s">
        <v>578</v>
      </c>
      <c r="L888" s="7" t="s">
        <v>579</v>
      </c>
      <c r="M888" s="7" t="s">
        <v>610</v>
      </c>
      <c r="N888" s="7" t="s">
        <v>581</v>
      </c>
    </row>
    <row r="889">
      <c r="A889" s="4">
        <v>46029.0</v>
      </c>
      <c r="B889" s="7" t="s">
        <v>2137</v>
      </c>
      <c r="C889" s="21">
        <f>+5491157028606</f>
        <v>5491157028606</v>
      </c>
      <c r="D889" s="7" t="s">
        <v>2138</v>
      </c>
      <c r="E889" s="14" t="s">
        <v>24</v>
      </c>
      <c r="F889" s="14" t="s">
        <v>32</v>
      </c>
      <c r="G889" s="14" t="s">
        <v>25</v>
      </c>
      <c r="H889" s="12" t="s">
        <v>727</v>
      </c>
      <c r="I889" s="7" t="s">
        <v>718</v>
      </c>
      <c r="J889" s="5" t="s">
        <v>2106</v>
      </c>
      <c r="K889" s="14" t="s">
        <v>578</v>
      </c>
      <c r="L889" s="7" t="s">
        <v>584</v>
      </c>
      <c r="M889" s="7" t="s">
        <v>1055</v>
      </c>
      <c r="N889" s="7" t="s">
        <v>585</v>
      </c>
    </row>
    <row r="890">
      <c r="A890" s="4">
        <v>46030.0</v>
      </c>
      <c r="B890" s="7" t="s">
        <v>2139</v>
      </c>
      <c r="C890" s="21">
        <f>+541158563825</f>
        <v>541158563825</v>
      </c>
      <c r="D890" s="7" t="s">
        <v>2140</v>
      </c>
      <c r="E890" s="14" t="s">
        <v>16</v>
      </c>
      <c r="F890" s="14" t="s">
        <v>21</v>
      </c>
      <c r="G890" s="14" t="s">
        <v>18</v>
      </c>
      <c r="H890" s="12" t="s">
        <v>717</v>
      </c>
      <c r="I890" s="7" t="s">
        <v>2141</v>
      </c>
      <c r="J890" s="5" t="s">
        <v>2142</v>
      </c>
      <c r="K890" s="14" t="s">
        <v>578</v>
      </c>
      <c r="L890" s="7" t="s">
        <v>579</v>
      </c>
      <c r="M890" s="7" t="s">
        <v>610</v>
      </c>
      <c r="N890" s="7" t="s">
        <v>581</v>
      </c>
    </row>
    <row r="891">
      <c r="A891" s="4">
        <v>46030.0</v>
      </c>
      <c r="B891" s="7" t="s">
        <v>2143</v>
      </c>
      <c r="C891" s="21">
        <f>+5492994049577</f>
        <v>5492994049577</v>
      </c>
      <c r="D891" s="7" t="s">
        <v>2144</v>
      </c>
      <c r="E891" s="7" t="s">
        <v>577</v>
      </c>
      <c r="F891" s="14" t="s">
        <v>21</v>
      </c>
      <c r="G891" s="14" t="s">
        <v>25</v>
      </c>
      <c r="H891" s="12" t="s">
        <v>717</v>
      </c>
      <c r="I891" s="7" t="s">
        <v>818</v>
      </c>
      <c r="K891" s="14" t="s">
        <v>578</v>
      </c>
      <c r="L891" s="7" t="s">
        <v>579</v>
      </c>
      <c r="M891" s="7" t="s">
        <v>610</v>
      </c>
      <c r="N891" s="7" t="s">
        <v>585</v>
      </c>
    </row>
    <row r="892">
      <c r="A892" s="4">
        <v>46030.0</v>
      </c>
      <c r="B892" s="7" t="s">
        <v>2145</v>
      </c>
      <c r="C892" s="21">
        <f>+543424781493</f>
        <v>543424781493</v>
      </c>
      <c r="D892" s="7" t="s">
        <v>2146</v>
      </c>
      <c r="E892" s="14" t="s">
        <v>24</v>
      </c>
      <c r="F892" s="14" t="s">
        <v>21</v>
      </c>
      <c r="G892" s="14" t="s">
        <v>18</v>
      </c>
      <c r="H892" s="12" t="s">
        <v>740</v>
      </c>
      <c r="I892" s="7" t="s">
        <v>2147</v>
      </c>
      <c r="J892" s="5" t="s">
        <v>2148</v>
      </c>
      <c r="K892" s="14" t="s">
        <v>578</v>
      </c>
      <c r="L892" s="7" t="s">
        <v>579</v>
      </c>
      <c r="M892" s="7" t="s">
        <v>610</v>
      </c>
      <c r="N892" s="7" t="s">
        <v>585</v>
      </c>
    </row>
    <row r="893">
      <c r="A893" s="4">
        <v>46030.0</v>
      </c>
      <c r="B893" s="7" t="s">
        <v>2149</v>
      </c>
      <c r="C893" s="21">
        <f>+542914024235</f>
        <v>542914024235</v>
      </c>
      <c r="D893" s="7" t="s">
        <v>2150</v>
      </c>
      <c r="E893" s="14" t="s">
        <v>24</v>
      </c>
      <c r="F893" s="14" t="s">
        <v>21</v>
      </c>
      <c r="G893" s="14" t="s">
        <v>18</v>
      </c>
      <c r="H893" s="12" t="s">
        <v>717</v>
      </c>
      <c r="I893" s="7" t="s">
        <v>1177</v>
      </c>
      <c r="J893" s="5" t="s">
        <v>2151</v>
      </c>
      <c r="K893" s="14" t="s">
        <v>578</v>
      </c>
      <c r="L893" s="7" t="s">
        <v>579</v>
      </c>
      <c r="M893" s="7" t="s">
        <v>610</v>
      </c>
      <c r="N893" s="7" t="s">
        <v>585</v>
      </c>
    </row>
    <row r="894">
      <c r="A894" s="4">
        <v>46030.0</v>
      </c>
      <c r="B894" s="7" t="s">
        <v>2152</v>
      </c>
      <c r="C894" s="21">
        <f>+5491141458000</f>
        <v>5491141458000</v>
      </c>
      <c r="D894" s="7" t="s">
        <v>2153</v>
      </c>
      <c r="E894" s="14" t="s">
        <v>24</v>
      </c>
      <c r="F894" s="14" t="s">
        <v>21</v>
      </c>
      <c r="G894" s="14" t="s">
        <v>25</v>
      </c>
      <c r="H894" s="12" t="s">
        <v>717</v>
      </c>
      <c r="I894" s="7" t="s">
        <v>2154</v>
      </c>
      <c r="J894" s="5" t="s">
        <v>2151</v>
      </c>
      <c r="K894" s="14" t="s">
        <v>578</v>
      </c>
      <c r="L894" s="7" t="s">
        <v>584</v>
      </c>
      <c r="M894" s="7" t="s">
        <v>1055</v>
      </c>
      <c r="N894" s="7" t="s">
        <v>585</v>
      </c>
    </row>
    <row r="895">
      <c r="A895" s="4">
        <v>46030.0</v>
      </c>
      <c r="B895" s="7" t="s">
        <v>2155</v>
      </c>
      <c r="C895" s="21">
        <f>+542920204357</f>
        <v>542920204357</v>
      </c>
      <c r="D895" s="7" t="s">
        <v>2156</v>
      </c>
      <c r="E895" s="7" t="s">
        <v>577</v>
      </c>
      <c r="F895" s="14" t="s">
        <v>21</v>
      </c>
      <c r="G895" s="14" t="s">
        <v>25</v>
      </c>
      <c r="H895" s="12" t="s">
        <v>740</v>
      </c>
      <c r="I895" s="7" t="s">
        <v>885</v>
      </c>
      <c r="J895" s="5" t="s">
        <v>2148</v>
      </c>
      <c r="K895" s="14" t="s">
        <v>578</v>
      </c>
      <c r="L895" s="7" t="s">
        <v>579</v>
      </c>
      <c r="M895" s="7" t="s">
        <v>610</v>
      </c>
      <c r="N895" s="7" t="s">
        <v>581</v>
      </c>
    </row>
    <row r="896">
      <c r="A896" s="4">
        <v>46030.0</v>
      </c>
      <c r="B896" s="7" t="s">
        <v>2157</v>
      </c>
      <c r="C896" s="21">
        <f>+543543698654</f>
        <v>543543698654</v>
      </c>
      <c r="D896" s="7" t="s">
        <v>2158</v>
      </c>
      <c r="E896" s="7" t="s">
        <v>577</v>
      </c>
      <c r="F896" s="14" t="s">
        <v>21</v>
      </c>
      <c r="G896" s="14" t="s">
        <v>25</v>
      </c>
      <c r="H896" s="12" t="s">
        <v>717</v>
      </c>
      <c r="I896" s="7" t="s">
        <v>818</v>
      </c>
      <c r="J896" s="5" t="s">
        <v>2148</v>
      </c>
      <c r="K896" s="14" t="s">
        <v>578</v>
      </c>
      <c r="L896" s="7" t="s">
        <v>579</v>
      </c>
      <c r="M896" s="7" t="s">
        <v>610</v>
      </c>
      <c r="N896" s="7" t="s">
        <v>585</v>
      </c>
    </row>
    <row r="897">
      <c r="A897" s="4">
        <v>46030.0</v>
      </c>
      <c r="B897" s="7" t="s">
        <v>2159</v>
      </c>
      <c r="C897" s="21">
        <f>+541123381377</f>
        <v>541123381377</v>
      </c>
      <c r="D897" s="7" t="s">
        <v>2160</v>
      </c>
      <c r="E897" s="7" t="s">
        <v>577</v>
      </c>
      <c r="F897" s="14" t="s">
        <v>32</v>
      </c>
      <c r="G897" s="14" t="s">
        <v>25</v>
      </c>
      <c r="H897" s="12" t="s">
        <v>745</v>
      </c>
      <c r="I897" s="7" t="s">
        <v>2161</v>
      </c>
      <c r="J897" s="5" t="s">
        <v>2162</v>
      </c>
      <c r="K897" s="14" t="s">
        <v>578</v>
      </c>
      <c r="L897" s="7" t="s">
        <v>584</v>
      </c>
      <c r="M897" s="7" t="s">
        <v>624</v>
      </c>
      <c r="N897" s="7" t="s">
        <v>581</v>
      </c>
    </row>
    <row r="898">
      <c r="A898" s="4">
        <v>46030.0</v>
      </c>
      <c r="B898" s="7" t="s">
        <v>2163</v>
      </c>
      <c r="C898" s="21">
        <f>+543624161979</f>
        <v>543624161979</v>
      </c>
      <c r="D898" s="7" t="s">
        <v>2164</v>
      </c>
      <c r="E898" s="7" t="s">
        <v>577</v>
      </c>
      <c r="F898" s="12" t="s">
        <v>17</v>
      </c>
      <c r="G898" s="14" t="s">
        <v>25</v>
      </c>
      <c r="H898" s="12" t="s">
        <v>740</v>
      </c>
      <c r="I898" s="7" t="s">
        <v>2165</v>
      </c>
      <c r="J898" s="5" t="s">
        <v>2148</v>
      </c>
      <c r="K898" s="14" t="s">
        <v>578</v>
      </c>
      <c r="L898" s="7" t="s">
        <v>579</v>
      </c>
      <c r="M898" s="7" t="s">
        <v>610</v>
      </c>
      <c r="N898" s="7" t="s">
        <v>585</v>
      </c>
    </row>
    <row r="899">
      <c r="A899" s="4">
        <v>46031.0</v>
      </c>
      <c r="B899" s="7" t="s">
        <v>2166</v>
      </c>
      <c r="C899" s="21">
        <f>+543624856326</f>
        <v>543624856326</v>
      </c>
      <c r="D899" s="7" t="s">
        <v>2167</v>
      </c>
      <c r="E899" s="14" t="s">
        <v>16</v>
      </c>
      <c r="F899" s="14" t="s">
        <v>21</v>
      </c>
      <c r="G899" s="14" t="s">
        <v>25</v>
      </c>
      <c r="H899" s="12" t="s">
        <v>717</v>
      </c>
      <c r="I899" s="7" t="s">
        <v>955</v>
      </c>
      <c r="J899" s="5" t="s">
        <v>2168</v>
      </c>
      <c r="K899" s="14" t="s">
        <v>578</v>
      </c>
      <c r="L899" s="7" t="s">
        <v>579</v>
      </c>
      <c r="M899" s="7" t="s">
        <v>624</v>
      </c>
      <c r="N899" s="7" t="s">
        <v>585</v>
      </c>
    </row>
    <row r="900">
      <c r="A900" s="4">
        <v>46031.0</v>
      </c>
      <c r="B900" s="7" t="s">
        <v>2169</v>
      </c>
      <c r="C900" s="21">
        <f>+541136954360</f>
        <v>541136954360</v>
      </c>
      <c r="D900" s="7" t="s">
        <v>2170</v>
      </c>
      <c r="E900" s="14" t="s">
        <v>16</v>
      </c>
      <c r="F900" s="14" t="s">
        <v>32</v>
      </c>
      <c r="G900" s="14" t="s">
        <v>25</v>
      </c>
      <c r="H900" s="12" t="s">
        <v>745</v>
      </c>
      <c r="I900" s="7" t="s">
        <v>731</v>
      </c>
      <c r="J900" s="5" t="s">
        <v>2171</v>
      </c>
      <c r="K900" s="14" t="s">
        <v>578</v>
      </c>
      <c r="L900" s="7" t="s">
        <v>584</v>
      </c>
      <c r="M900" s="7" t="s">
        <v>1055</v>
      </c>
      <c r="N900" s="7" t="s">
        <v>585</v>
      </c>
    </row>
    <row r="901">
      <c r="A901" s="4">
        <v>46031.0</v>
      </c>
      <c r="B901" s="7" t="s">
        <v>2172</v>
      </c>
      <c r="C901" s="21">
        <f>+541169068985</f>
        <v>541169068985</v>
      </c>
      <c r="D901" s="7" t="s">
        <v>2173</v>
      </c>
      <c r="E901" s="7" t="s">
        <v>577</v>
      </c>
      <c r="F901" s="14" t="s">
        <v>32</v>
      </c>
      <c r="G901" s="14" t="s">
        <v>25</v>
      </c>
      <c r="H901" s="12" t="s">
        <v>745</v>
      </c>
      <c r="I901" s="7" t="s">
        <v>2174</v>
      </c>
      <c r="J901" s="5" t="s">
        <v>2148</v>
      </c>
      <c r="K901" s="14" t="s">
        <v>578</v>
      </c>
      <c r="L901" s="7" t="s">
        <v>584</v>
      </c>
      <c r="M901" s="7" t="s">
        <v>1055</v>
      </c>
      <c r="N901" s="7" t="s">
        <v>585</v>
      </c>
    </row>
    <row r="902">
      <c r="A902" s="4">
        <v>46032.0</v>
      </c>
      <c r="B902" s="7" t="s">
        <v>2175</v>
      </c>
      <c r="C902" s="21">
        <f>+541132579103</f>
        <v>541132579103</v>
      </c>
      <c r="D902" s="7" t="s">
        <v>2176</v>
      </c>
      <c r="E902" s="14" t="s">
        <v>24</v>
      </c>
      <c r="F902" s="14" t="s">
        <v>21</v>
      </c>
      <c r="G902" s="19" t="s">
        <v>1045</v>
      </c>
      <c r="H902" s="12" t="s">
        <v>740</v>
      </c>
      <c r="I902" s="7" t="s">
        <v>2177</v>
      </c>
      <c r="K902" s="14" t="s">
        <v>578</v>
      </c>
      <c r="L902" s="7" t="s">
        <v>584</v>
      </c>
      <c r="M902" s="7" t="s">
        <v>1055</v>
      </c>
      <c r="N902" s="7" t="s">
        <v>585</v>
      </c>
    </row>
    <row r="903">
      <c r="A903" s="4">
        <v>46032.0</v>
      </c>
      <c r="B903" s="7" t="s">
        <v>2178</v>
      </c>
      <c r="C903" s="21">
        <f>+541133982302</f>
        <v>541133982302</v>
      </c>
      <c r="D903" s="7" t="s">
        <v>2179</v>
      </c>
      <c r="E903" s="7" t="s">
        <v>577</v>
      </c>
      <c r="F903" s="14" t="s">
        <v>21</v>
      </c>
      <c r="G903" s="14" t="s">
        <v>25</v>
      </c>
      <c r="H903" s="12" t="s">
        <v>717</v>
      </c>
      <c r="I903" s="7" t="s">
        <v>1088</v>
      </c>
      <c r="J903" s="5" t="s">
        <v>2148</v>
      </c>
      <c r="K903" s="14" t="s">
        <v>578</v>
      </c>
      <c r="L903" s="7" t="s">
        <v>584</v>
      </c>
      <c r="M903" s="7" t="s">
        <v>1055</v>
      </c>
      <c r="N903" s="7" t="s">
        <v>585</v>
      </c>
    </row>
    <row r="904">
      <c r="A904" s="4">
        <v>46032.0</v>
      </c>
      <c r="B904" s="7" t="s">
        <v>2180</v>
      </c>
      <c r="C904" s="21">
        <f>+541144064289</f>
        <v>541144064289</v>
      </c>
      <c r="D904" s="7" t="s">
        <v>2181</v>
      </c>
      <c r="E904" s="14" t="s">
        <v>16</v>
      </c>
      <c r="F904" s="14" t="s">
        <v>21</v>
      </c>
      <c r="G904" s="14" t="s">
        <v>18</v>
      </c>
      <c r="H904" s="12" t="s">
        <v>727</v>
      </c>
      <c r="I904" s="7" t="s">
        <v>2182</v>
      </c>
      <c r="K904" s="14" t="s">
        <v>578</v>
      </c>
      <c r="L904" s="7" t="s">
        <v>579</v>
      </c>
      <c r="M904" s="7" t="s">
        <v>1386</v>
      </c>
      <c r="N904" s="7" t="s">
        <v>585</v>
      </c>
    </row>
    <row r="905">
      <c r="A905" s="4">
        <v>46033.0</v>
      </c>
      <c r="B905" s="7" t="s">
        <v>2183</v>
      </c>
      <c r="C905" s="21">
        <f>+543584908156</f>
        <v>543584908156</v>
      </c>
      <c r="D905" s="7" t="s">
        <v>2184</v>
      </c>
      <c r="E905" s="14" t="s">
        <v>16</v>
      </c>
      <c r="F905" s="14" t="s">
        <v>32</v>
      </c>
      <c r="G905" s="14" t="s">
        <v>25</v>
      </c>
      <c r="H905" s="12" t="s">
        <v>727</v>
      </c>
      <c r="I905" s="7" t="s">
        <v>2109</v>
      </c>
      <c r="J905" s="5" t="s">
        <v>2185</v>
      </c>
      <c r="K905" s="14" t="s">
        <v>578</v>
      </c>
      <c r="L905" s="7" t="s">
        <v>579</v>
      </c>
      <c r="M905" s="7" t="s">
        <v>580</v>
      </c>
      <c r="N905" s="7" t="s">
        <v>581</v>
      </c>
    </row>
    <row r="906">
      <c r="A906" s="4">
        <v>46033.0</v>
      </c>
      <c r="B906" s="7" t="s">
        <v>2186</v>
      </c>
      <c r="C906" s="21">
        <f>+542392519684</f>
        <v>542392519684</v>
      </c>
      <c r="D906" s="7" t="s">
        <v>2187</v>
      </c>
      <c r="E906" s="14" t="s">
        <v>16</v>
      </c>
      <c r="F906" s="12" t="s">
        <v>17</v>
      </c>
      <c r="G906" s="14" t="s">
        <v>25</v>
      </c>
      <c r="H906" s="12" t="s">
        <v>740</v>
      </c>
      <c r="I906" s="7" t="s">
        <v>1088</v>
      </c>
      <c r="J906" s="5" t="s">
        <v>2151</v>
      </c>
      <c r="K906" s="14" t="s">
        <v>578</v>
      </c>
      <c r="L906" s="7" t="s">
        <v>579</v>
      </c>
      <c r="M906" s="7" t="s">
        <v>580</v>
      </c>
      <c r="N906" s="7" t="s">
        <v>585</v>
      </c>
    </row>
    <row r="907">
      <c r="A907" s="4">
        <v>46033.0</v>
      </c>
      <c r="B907" s="7" t="s">
        <v>2188</v>
      </c>
      <c r="C907" s="21">
        <f>+541149972611</f>
        <v>541149972611</v>
      </c>
      <c r="D907" s="7" t="s">
        <v>2189</v>
      </c>
      <c r="E907" s="14" t="s">
        <v>16</v>
      </c>
      <c r="F907" s="14" t="s">
        <v>21</v>
      </c>
      <c r="G907" s="14" t="s">
        <v>18</v>
      </c>
      <c r="H907" s="12" t="s">
        <v>727</v>
      </c>
      <c r="I907" s="7" t="s">
        <v>1747</v>
      </c>
      <c r="J907" s="5" t="s">
        <v>2185</v>
      </c>
      <c r="K907" s="14" t="s">
        <v>578</v>
      </c>
      <c r="L907" s="7" t="s">
        <v>584</v>
      </c>
      <c r="M907" s="7" t="s">
        <v>580</v>
      </c>
      <c r="N907" s="7" t="s">
        <v>581</v>
      </c>
    </row>
    <row r="908">
      <c r="A908" s="4">
        <v>46033.0</v>
      </c>
      <c r="B908" s="7" t="s">
        <v>2190</v>
      </c>
      <c r="C908" s="21">
        <f>+5491551209032</f>
        <v>5491551209032</v>
      </c>
      <c r="D908" s="7" t="s">
        <v>2191</v>
      </c>
      <c r="E908" s="14" t="s">
        <v>24</v>
      </c>
      <c r="F908" s="14" t="s">
        <v>21</v>
      </c>
      <c r="G908" s="14" t="s">
        <v>25</v>
      </c>
      <c r="H908" s="12" t="s">
        <v>717</v>
      </c>
      <c r="I908" s="7" t="s">
        <v>2192</v>
      </c>
      <c r="J908" s="5" t="s">
        <v>2171</v>
      </c>
      <c r="K908" s="14" t="s">
        <v>578</v>
      </c>
      <c r="L908" s="7" t="s">
        <v>579</v>
      </c>
      <c r="M908" s="7" t="s">
        <v>580</v>
      </c>
      <c r="N908" s="7" t="s">
        <v>581</v>
      </c>
    </row>
    <row r="909">
      <c r="A909" s="4">
        <v>46033.0</v>
      </c>
      <c r="B909" s="7" t="s">
        <v>2193</v>
      </c>
      <c r="C909" s="21">
        <f>+5493407477418</f>
        <v>5493407477418</v>
      </c>
      <c r="D909" s="7" t="s">
        <v>2194</v>
      </c>
      <c r="E909" s="14" t="s">
        <v>16</v>
      </c>
      <c r="F909" s="14" t="s">
        <v>21</v>
      </c>
      <c r="G909" s="14" t="s">
        <v>18</v>
      </c>
      <c r="H909" s="12" t="s">
        <v>717</v>
      </c>
      <c r="I909" s="7" t="s">
        <v>734</v>
      </c>
      <c r="K909" s="14" t="s">
        <v>578</v>
      </c>
      <c r="L909" s="7" t="s">
        <v>579</v>
      </c>
      <c r="M909" s="7" t="s">
        <v>580</v>
      </c>
      <c r="N909" s="7" t="s">
        <v>585</v>
      </c>
    </row>
    <row r="910">
      <c r="A910" s="4">
        <v>46033.0</v>
      </c>
      <c r="B910" s="7" t="s">
        <v>2195</v>
      </c>
      <c r="C910" s="21">
        <f>+542984228549</f>
        <v>542984228549</v>
      </c>
      <c r="D910" s="7" t="s">
        <v>2196</v>
      </c>
      <c r="E910" s="14" t="s">
        <v>24</v>
      </c>
      <c r="F910" s="14" t="s">
        <v>21</v>
      </c>
      <c r="G910" s="14" t="s">
        <v>25</v>
      </c>
      <c r="H910" s="12" t="s">
        <v>717</v>
      </c>
      <c r="I910" s="7" t="s">
        <v>2197</v>
      </c>
      <c r="J910" s="5" t="s">
        <v>2148</v>
      </c>
      <c r="K910" s="14" t="s">
        <v>578</v>
      </c>
      <c r="L910" s="7" t="s">
        <v>579</v>
      </c>
      <c r="M910" s="7" t="s">
        <v>580</v>
      </c>
      <c r="N910" s="7" t="s">
        <v>585</v>
      </c>
    </row>
    <row r="911">
      <c r="A911" s="4">
        <v>46033.0</v>
      </c>
      <c r="B911" s="7" t="s">
        <v>2198</v>
      </c>
      <c r="C911" s="21">
        <f>+541136285120</f>
        <v>541136285120</v>
      </c>
      <c r="D911" s="7" t="s">
        <v>2199</v>
      </c>
      <c r="E911" s="14" t="s">
        <v>24</v>
      </c>
      <c r="F911" s="14" t="s">
        <v>21</v>
      </c>
      <c r="G911" s="14" t="s">
        <v>25</v>
      </c>
      <c r="H911" s="12" t="s">
        <v>717</v>
      </c>
      <c r="I911" s="7" t="s">
        <v>2200</v>
      </c>
      <c r="J911" s="5" t="s">
        <v>2201</v>
      </c>
      <c r="K911" s="14" t="s">
        <v>578</v>
      </c>
      <c r="L911" s="7" t="s">
        <v>584</v>
      </c>
      <c r="M911" s="7" t="s">
        <v>580</v>
      </c>
      <c r="N911" s="7" t="s">
        <v>581</v>
      </c>
    </row>
    <row r="912">
      <c r="A912" s="4">
        <v>46033.0</v>
      </c>
      <c r="B912" s="7" t="s">
        <v>2202</v>
      </c>
      <c r="C912" s="21">
        <f>+541128805657</f>
        <v>541128805657</v>
      </c>
      <c r="D912" s="7" t="s">
        <v>2203</v>
      </c>
      <c r="E912" s="7" t="s">
        <v>577</v>
      </c>
      <c r="F912" s="14" t="s">
        <v>21</v>
      </c>
      <c r="G912" s="14" t="s">
        <v>18</v>
      </c>
      <c r="H912" s="12" t="s">
        <v>717</v>
      </c>
      <c r="I912" s="7" t="s">
        <v>718</v>
      </c>
      <c r="J912" s="5" t="s">
        <v>2148</v>
      </c>
      <c r="K912" s="14" t="s">
        <v>578</v>
      </c>
      <c r="L912" s="7" t="s">
        <v>584</v>
      </c>
      <c r="M912" s="7" t="s">
        <v>1055</v>
      </c>
      <c r="N912" s="7" t="s">
        <v>585</v>
      </c>
    </row>
    <row r="913">
      <c r="A913" s="4">
        <v>46034.0</v>
      </c>
      <c r="B913" s="7" t="s">
        <v>2204</v>
      </c>
      <c r="C913" s="23">
        <v>1.123223096E9</v>
      </c>
      <c r="D913" s="7" t="s">
        <v>2205</v>
      </c>
      <c r="E913" s="14" t="s">
        <v>24</v>
      </c>
      <c r="F913" s="14" t="s">
        <v>21</v>
      </c>
      <c r="G913" s="14" t="s">
        <v>25</v>
      </c>
      <c r="H913" s="12" t="s">
        <v>717</v>
      </c>
      <c r="I913" s="7" t="s">
        <v>728</v>
      </c>
      <c r="J913" s="5" t="s">
        <v>2206</v>
      </c>
      <c r="K913" s="14" t="s">
        <v>578</v>
      </c>
      <c r="L913" s="7" t="s">
        <v>584</v>
      </c>
      <c r="M913" s="7" t="s">
        <v>580</v>
      </c>
      <c r="N913" s="7" t="s">
        <v>581</v>
      </c>
    </row>
    <row r="914">
      <c r="A914" s="4">
        <v>46034.0</v>
      </c>
      <c r="B914" s="7" t="s">
        <v>2207</v>
      </c>
      <c r="C914" s="21">
        <f>+542226608332</f>
        <v>542226608332</v>
      </c>
      <c r="D914" s="7" t="s">
        <v>2208</v>
      </c>
      <c r="E914" s="14" t="s">
        <v>16</v>
      </c>
      <c r="F914" s="14" t="s">
        <v>21</v>
      </c>
      <c r="G914" s="14" t="s">
        <v>25</v>
      </c>
      <c r="H914" s="12" t="s">
        <v>717</v>
      </c>
      <c r="I914" s="7" t="s">
        <v>2209</v>
      </c>
      <c r="J914" s="5" t="s">
        <v>2151</v>
      </c>
      <c r="K914" s="14" t="s">
        <v>578</v>
      </c>
      <c r="L914" s="7" t="s">
        <v>584</v>
      </c>
      <c r="M914" s="7" t="s">
        <v>580</v>
      </c>
      <c r="N914" s="7" t="s">
        <v>581</v>
      </c>
    </row>
    <row r="915">
      <c r="A915" s="4">
        <v>46034.0</v>
      </c>
      <c r="B915" s="7" t="s">
        <v>2210</v>
      </c>
      <c r="C915" s="21">
        <f>+542236172115</f>
        <v>542236172115</v>
      </c>
      <c r="D915" s="7" t="s">
        <v>2211</v>
      </c>
      <c r="E915" s="7" t="s">
        <v>577</v>
      </c>
      <c r="F915" s="14" t="s">
        <v>21</v>
      </c>
      <c r="G915" s="14" t="s">
        <v>25</v>
      </c>
      <c r="H915" s="12" t="s">
        <v>727</v>
      </c>
      <c r="I915" s="7" t="s">
        <v>2212</v>
      </c>
      <c r="J915" s="5" t="s">
        <v>2185</v>
      </c>
      <c r="K915" s="14" t="s">
        <v>578</v>
      </c>
      <c r="L915" s="7" t="s">
        <v>579</v>
      </c>
      <c r="M915" s="7" t="s">
        <v>580</v>
      </c>
      <c r="N915" s="7" t="s">
        <v>581</v>
      </c>
    </row>
    <row r="916">
      <c r="A916" s="4">
        <v>46034.0</v>
      </c>
      <c r="B916" s="7" t="s">
        <v>2213</v>
      </c>
      <c r="C916" s="21">
        <f>+541136612730</f>
        <v>541136612730</v>
      </c>
      <c r="D916" s="7" t="s">
        <v>2214</v>
      </c>
      <c r="E916" s="7" t="s">
        <v>577</v>
      </c>
      <c r="F916" s="14" t="s">
        <v>21</v>
      </c>
      <c r="G916" s="14" t="s">
        <v>25</v>
      </c>
      <c r="H916" s="12" t="s">
        <v>727</v>
      </c>
      <c r="I916" s="7" t="s">
        <v>770</v>
      </c>
      <c r="J916" s="5" t="s">
        <v>2185</v>
      </c>
      <c r="K916" s="14" t="s">
        <v>578</v>
      </c>
      <c r="L916" s="7" t="s">
        <v>584</v>
      </c>
      <c r="M916" s="7" t="s">
        <v>580</v>
      </c>
      <c r="N916" s="7" t="s">
        <v>585</v>
      </c>
    </row>
    <row r="917">
      <c r="A917" s="4">
        <v>46034.0</v>
      </c>
      <c r="B917" s="7" t="s">
        <v>2215</v>
      </c>
      <c r="C917" s="21">
        <f>+542604385888</f>
        <v>542604385888</v>
      </c>
      <c r="D917" s="7" t="s">
        <v>2216</v>
      </c>
      <c r="E917" s="14" t="s">
        <v>24</v>
      </c>
      <c r="F917" s="14" t="s">
        <v>21</v>
      </c>
      <c r="G917" s="14" t="s">
        <v>25</v>
      </c>
      <c r="H917" s="12" t="s">
        <v>745</v>
      </c>
      <c r="I917" s="7" t="s">
        <v>770</v>
      </c>
      <c r="J917" s="5" t="s">
        <v>2171</v>
      </c>
      <c r="K917" s="14" t="s">
        <v>578</v>
      </c>
      <c r="L917" s="7" t="s">
        <v>579</v>
      </c>
      <c r="M917" s="7" t="s">
        <v>580</v>
      </c>
      <c r="N917" s="7" t="s">
        <v>581</v>
      </c>
    </row>
    <row r="918">
      <c r="A918" s="4">
        <v>46034.0</v>
      </c>
      <c r="B918" s="7" t="s">
        <v>2217</v>
      </c>
      <c r="C918" s="21">
        <f>+541154643061</f>
        <v>541154643061</v>
      </c>
      <c r="D918" s="7" t="s">
        <v>2218</v>
      </c>
      <c r="E918" s="7" t="s">
        <v>577</v>
      </c>
      <c r="F918" s="14" t="s">
        <v>21</v>
      </c>
      <c r="G918" s="14" t="s">
        <v>25</v>
      </c>
      <c r="H918" s="12" t="s">
        <v>740</v>
      </c>
      <c r="I918" s="7" t="s">
        <v>756</v>
      </c>
      <c r="J918" s="5" t="s">
        <v>2151</v>
      </c>
      <c r="K918" s="14" t="s">
        <v>578</v>
      </c>
      <c r="L918" s="7" t="s">
        <v>584</v>
      </c>
      <c r="M918" s="7" t="s">
        <v>580</v>
      </c>
      <c r="N918" s="7" t="s">
        <v>581</v>
      </c>
    </row>
    <row r="919">
      <c r="A919" s="4">
        <v>46034.0</v>
      </c>
      <c r="B919" s="7" t="s">
        <v>2219</v>
      </c>
      <c r="C919" s="21">
        <f>+5493364247298</f>
        <v>5493364247298</v>
      </c>
      <c r="D919" s="7" t="s">
        <v>2220</v>
      </c>
      <c r="E919" s="14" t="s">
        <v>24</v>
      </c>
      <c r="F919" s="14" t="s">
        <v>21</v>
      </c>
      <c r="G919" s="14" t="s">
        <v>25</v>
      </c>
      <c r="H919" s="12" t="s">
        <v>717</v>
      </c>
      <c r="I919" s="7" t="s">
        <v>2221</v>
      </c>
      <c r="J919" s="5" t="s">
        <v>2185</v>
      </c>
      <c r="K919" s="14" t="s">
        <v>578</v>
      </c>
      <c r="L919" s="7" t="s">
        <v>584</v>
      </c>
      <c r="M919" s="7" t="s">
        <v>580</v>
      </c>
      <c r="N919" s="7" t="s">
        <v>585</v>
      </c>
    </row>
    <row r="920">
      <c r="A920" s="4">
        <v>46035.0</v>
      </c>
      <c r="B920" s="7" t="s">
        <v>2222</v>
      </c>
      <c r="C920" s="21">
        <f>+5491166622954</f>
        <v>5491166622954</v>
      </c>
      <c r="D920" s="7" t="s">
        <v>2223</v>
      </c>
      <c r="E920" s="7" t="s">
        <v>577</v>
      </c>
      <c r="F920" s="14" t="s">
        <v>21</v>
      </c>
      <c r="G920" s="14" t="s">
        <v>25</v>
      </c>
      <c r="H920" s="12" t="s">
        <v>717</v>
      </c>
      <c r="I920" s="7" t="s">
        <v>2224</v>
      </c>
      <c r="J920" s="5" t="s">
        <v>2225</v>
      </c>
      <c r="K920" s="14" t="s">
        <v>578</v>
      </c>
      <c r="L920" s="7" t="s">
        <v>584</v>
      </c>
      <c r="M920" s="7" t="s">
        <v>580</v>
      </c>
      <c r="N920" s="7" t="s">
        <v>585</v>
      </c>
    </row>
    <row r="921">
      <c r="A921" s="4">
        <v>46035.0</v>
      </c>
      <c r="B921" s="7" t="s">
        <v>2226</v>
      </c>
      <c r="C921" s="21">
        <f>+5492645262000--2645258083</f>
        <v>5495290520083</v>
      </c>
      <c r="D921" s="7" t="s">
        <v>2227</v>
      </c>
      <c r="E921" s="14" t="s">
        <v>16</v>
      </c>
      <c r="F921" s="12" t="s">
        <v>17</v>
      </c>
      <c r="G921" s="14" t="s">
        <v>25</v>
      </c>
      <c r="H921" s="12" t="s">
        <v>727</v>
      </c>
      <c r="I921" s="7" t="s">
        <v>2228</v>
      </c>
      <c r="J921" s="5" t="s">
        <v>2229</v>
      </c>
      <c r="K921" s="14" t="s">
        <v>578</v>
      </c>
      <c r="L921" s="7" t="s">
        <v>579</v>
      </c>
      <c r="M921" s="7" t="s">
        <v>610</v>
      </c>
      <c r="N921" s="7" t="s">
        <v>585</v>
      </c>
    </row>
    <row r="922">
      <c r="A922" s="4">
        <v>46035.0</v>
      </c>
      <c r="B922" s="7" t="s">
        <v>2230</v>
      </c>
      <c r="C922" s="21">
        <f>+541157177359</f>
        <v>541157177359</v>
      </c>
      <c r="D922" s="7" t="s">
        <v>2231</v>
      </c>
      <c r="E922" s="7" t="s">
        <v>577</v>
      </c>
      <c r="F922" s="14" t="s">
        <v>32</v>
      </c>
      <c r="G922" s="14" t="s">
        <v>25</v>
      </c>
      <c r="H922" s="12" t="s">
        <v>745</v>
      </c>
      <c r="I922" s="7" t="s">
        <v>972</v>
      </c>
      <c r="J922" s="5" t="s">
        <v>2232</v>
      </c>
      <c r="K922" s="14" t="s">
        <v>578</v>
      </c>
      <c r="L922" s="7" t="s">
        <v>584</v>
      </c>
      <c r="M922" s="7" t="s">
        <v>580</v>
      </c>
      <c r="N922" s="7" t="s">
        <v>581</v>
      </c>
    </row>
    <row r="923">
      <c r="A923" s="4">
        <v>46035.0</v>
      </c>
      <c r="B923" s="7" t="s">
        <v>2233</v>
      </c>
      <c r="C923" s="21">
        <f>+542974099019</f>
        <v>542974099019</v>
      </c>
      <c r="D923" s="7" t="s">
        <v>2234</v>
      </c>
      <c r="E923" s="14" t="s">
        <v>16</v>
      </c>
      <c r="F923" s="14" t="s">
        <v>21</v>
      </c>
      <c r="G923" s="14" t="s">
        <v>18</v>
      </c>
      <c r="H923" s="12" t="s">
        <v>740</v>
      </c>
      <c r="I923" s="7" t="s">
        <v>2235</v>
      </c>
      <c r="J923" s="5" t="s">
        <v>2232</v>
      </c>
      <c r="K923" s="14" t="s">
        <v>578</v>
      </c>
      <c r="L923" s="7" t="s">
        <v>579</v>
      </c>
      <c r="M923" s="7" t="s">
        <v>624</v>
      </c>
      <c r="N923" s="7" t="s">
        <v>581</v>
      </c>
    </row>
    <row r="924">
      <c r="A924" s="4">
        <v>46035.0</v>
      </c>
      <c r="B924" s="7" t="s">
        <v>2236</v>
      </c>
      <c r="C924" s="21">
        <f>+543624018888</f>
        <v>543624018888</v>
      </c>
      <c r="D924" s="7" t="s">
        <v>2237</v>
      </c>
      <c r="E924" s="14" t="s">
        <v>24</v>
      </c>
      <c r="F924" s="14" t="s">
        <v>21</v>
      </c>
      <c r="G924" s="14" t="s">
        <v>18</v>
      </c>
      <c r="H924" s="12" t="s">
        <v>717</v>
      </c>
      <c r="I924" s="7" t="s">
        <v>885</v>
      </c>
      <c r="J924" s="5" t="s">
        <v>2232</v>
      </c>
      <c r="K924" s="14" t="s">
        <v>578</v>
      </c>
      <c r="L924" s="7" t="s">
        <v>579</v>
      </c>
      <c r="M924" s="7" t="s">
        <v>610</v>
      </c>
      <c r="N924" s="7" t="s">
        <v>581</v>
      </c>
    </row>
    <row r="925">
      <c r="A925" s="4">
        <v>46035.0</v>
      </c>
      <c r="B925" s="7" t="s">
        <v>2238</v>
      </c>
      <c r="C925" s="21">
        <f>+543855055247</f>
        <v>543855055247</v>
      </c>
      <c r="D925" s="7" t="s">
        <v>2239</v>
      </c>
      <c r="E925" s="14" t="s">
        <v>24</v>
      </c>
      <c r="F925" s="14" t="s">
        <v>21</v>
      </c>
      <c r="G925" s="14" t="s">
        <v>25</v>
      </c>
      <c r="H925" s="12" t="s">
        <v>717</v>
      </c>
      <c r="I925" s="7" t="s">
        <v>2240</v>
      </c>
      <c r="J925" s="5" t="s">
        <v>2241</v>
      </c>
      <c r="K925" s="14" t="s">
        <v>578</v>
      </c>
      <c r="L925" s="7" t="s">
        <v>579</v>
      </c>
      <c r="M925" s="7" t="s">
        <v>624</v>
      </c>
      <c r="N925" s="7" t="s">
        <v>585</v>
      </c>
    </row>
    <row r="926">
      <c r="A926" s="4">
        <v>46036.0</v>
      </c>
      <c r="B926" s="7" t="s">
        <v>2242</v>
      </c>
      <c r="C926" s="21">
        <f>+542657555540</f>
        <v>542657555540</v>
      </c>
      <c r="D926" s="7" t="s">
        <v>2243</v>
      </c>
      <c r="E926" s="14" t="s">
        <v>24</v>
      </c>
      <c r="F926" s="14" t="s">
        <v>21</v>
      </c>
      <c r="G926" s="14" t="s">
        <v>25</v>
      </c>
      <c r="H926" s="12" t="s">
        <v>717</v>
      </c>
      <c r="I926" s="7" t="s">
        <v>2244</v>
      </c>
      <c r="J926" s="5" t="s">
        <v>2232</v>
      </c>
      <c r="K926" s="14" t="s">
        <v>578</v>
      </c>
      <c r="L926" s="7" t="s">
        <v>579</v>
      </c>
      <c r="M926" s="7" t="s">
        <v>610</v>
      </c>
      <c r="N926" s="7" t="s">
        <v>585</v>
      </c>
    </row>
    <row r="927">
      <c r="A927" s="4">
        <v>46036.0</v>
      </c>
      <c r="B927" s="7" t="s">
        <v>2245</v>
      </c>
      <c r="C927" s="23">
        <v>1.133605623E9</v>
      </c>
      <c r="D927" s="7" t="s">
        <v>2246</v>
      </c>
      <c r="E927" s="7" t="s">
        <v>577</v>
      </c>
      <c r="F927" s="14" t="s">
        <v>21</v>
      </c>
      <c r="G927" s="14" t="s">
        <v>25</v>
      </c>
      <c r="H927" s="12" t="s">
        <v>740</v>
      </c>
      <c r="I927" s="7" t="s">
        <v>2247</v>
      </c>
      <c r="J927" s="5" t="s">
        <v>2248</v>
      </c>
      <c r="K927" s="14" t="s">
        <v>578</v>
      </c>
      <c r="L927" s="7" t="s">
        <v>584</v>
      </c>
      <c r="M927" s="7" t="s">
        <v>580</v>
      </c>
      <c r="N927" s="7" t="s">
        <v>585</v>
      </c>
    </row>
    <row r="928">
      <c r="A928" s="4">
        <v>46036.0</v>
      </c>
      <c r="B928" s="7" t="s">
        <v>2249</v>
      </c>
      <c r="C928" s="21">
        <f>+541131334905</f>
        <v>541131334905</v>
      </c>
      <c r="D928" s="7" t="s">
        <v>2250</v>
      </c>
      <c r="E928" s="14" t="s">
        <v>24</v>
      </c>
      <c r="F928" s="14" t="s">
        <v>21</v>
      </c>
      <c r="G928" s="14" t="s">
        <v>25</v>
      </c>
      <c r="H928" s="12" t="s">
        <v>740</v>
      </c>
      <c r="I928" s="7" t="s">
        <v>728</v>
      </c>
      <c r="J928" s="5" t="s">
        <v>2232</v>
      </c>
      <c r="K928" s="14" t="s">
        <v>578</v>
      </c>
      <c r="L928" s="7" t="s">
        <v>584</v>
      </c>
      <c r="M928" s="7" t="s">
        <v>580</v>
      </c>
      <c r="N928" s="7" t="s">
        <v>581</v>
      </c>
    </row>
    <row r="929">
      <c r="A929" s="4">
        <v>46036.0</v>
      </c>
      <c r="B929" s="7" t="s">
        <v>2251</v>
      </c>
      <c r="C929" s="21">
        <f>+542915059455</f>
        <v>542915059455</v>
      </c>
      <c r="D929" s="7" t="s">
        <v>2252</v>
      </c>
      <c r="E929" s="14" t="s">
        <v>16</v>
      </c>
      <c r="F929" s="14" t="s">
        <v>32</v>
      </c>
      <c r="G929" s="14" t="s">
        <v>25</v>
      </c>
      <c r="H929" s="12" t="s">
        <v>717</v>
      </c>
      <c r="I929" s="7" t="s">
        <v>992</v>
      </c>
      <c r="J929" s="5" t="s">
        <v>2232</v>
      </c>
      <c r="K929" s="14" t="s">
        <v>578</v>
      </c>
      <c r="L929" s="7" t="s">
        <v>579</v>
      </c>
      <c r="M929" s="7" t="s">
        <v>610</v>
      </c>
      <c r="N929" s="7" t="s">
        <v>585</v>
      </c>
    </row>
    <row r="930">
      <c r="A930" s="4">
        <v>46036.0</v>
      </c>
      <c r="B930" s="7" t="s">
        <v>2253</v>
      </c>
      <c r="C930" s="21">
        <f>+542355443631</f>
        <v>542355443631</v>
      </c>
      <c r="D930" s="7" t="s">
        <v>2254</v>
      </c>
      <c r="E930" s="7" t="s">
        <v>577</v>
      </c>
      <c r="F930" s="14" t="s">
        <v>21</v>
      </c>
      <c r="G930" s="14" t="s">
        <v>25</v>
      </c>
      <c r="H930" s="12" t="s">
        <v>740</v>
      </c>
      <c r="I930" s="7" t="s">
        <v>2255</v>
      </c>
      <c r="J930" s="5" t="s">
        <v>2256</v>
      </c>
      <c r="K930" s="14" t="s">
        <v>578</v>
      </c>
      <c r="L930" s="7" t="s">
        <v>579</v>
      </c>
      <c r="M930" s="7" t="s">
        <v>610</v>
      </c>
      <c r="N930" s="7" t="s">
        <v>585</v>
      </c>
    </row>
    <row r="931">
      <c r="A931" s="4">
        <v>46036.0</v>
      </c>
      <c r="B931" s="7" t="s">
        <v>2257</v>
      </c>
      <c r="C931" s="21">
        <f>+542645631880</f>
        <v>542645631880</v>
      </c>
      <c r="D931" s="7" t="s">
        <v>2258</v>
      </c>
      <c r="E931" s="14" t="s">
        <v>16</v>
      </c>
      <c r="F931" s="14" t="s">
        <v>21</v>
      </c>
      <c r="G931" s="14" t="s">
        <v>18</v>
      </c>
      <c r="H931" s="12" t="s">
        <v>727</v>
      </c>
      <c r="I931" s="7" t="s">
        <v>2259</v>
      </c>
      <c r="J931" s="5" t="s">
        <v>2232</v>
      </c>
      <c r="K931" s="14" t="s">
        <v>578</v>
      </c>
      <c r="L931" s="7" t="s">
        <v>579</v>
      </c>
      <c r="M931" s="7" t="s">
        <v>610</v>
      </c>
      <c r="N931" s="7" t="s">
        <v>585</v>
      </c>
    </row>
    <row r="932">
      <c r="A932" s="4">
        <v>46037.0</v>
      </c>
      <c r="B932" s="7" t="s">
        <v>2260</v>
      </c>
      <c r="C932" s="21">
        <f>+541156044541</f>
        <v>541156044541</v>
      </c>
      <c r="D932" s="7" t="s">
        <v>2261</v>
      </c>
      <c r="E932" s="7" t="s">
        <v>577</v>
      </c>
      <c r="F932" s="14" t="s">
        <v>21</v>
      </c>
      <c r="G932" s="14" t="s">
        <v>18</v>
      </c>
      <c r="H932" s="12" t="s">
        <v>717</v>
      </c>
      <c r="I932" s="7" t="s">
        <v>885</v>
      </c>
      <c r="J932" s="5" t="s">
        <v>2232</v>
      </c>
      <c r="K932" s="14" t="s">
        <v>578</v>
      </c>
      <c r="L932" s="7" t="s">
        <v>584</v>
      </c>
      <c r="M932" s="7" t="s">
        <v>580</v>
      </c>
      <c r="N932" s="7" t="s">
        <v>581</v>
      </c>
    </row>
    <row r="933">
      <c r="A933" s="4">
        <v>46037.0</v>
      </c>
      <c r="B933" s="7" t="s">
        <v>2262</v>
      </c>
      <c r="C933" s="21">
        <f>+542646260052</f>
        <v>542646260052</v>
      </c>
      <c r="D933" s="7" t="s">
        <v>2263</v>
      </c>
      <c r="E933" s="7" t="s">
        <v>577</v>
      </c>
      <c r="F933" s="12" t="s">
        <v>17</v>
      </c>
      <c r="G933" s="14" t="s">
        <v>18</v>
      </c>
      <c r="H933" s="12" t="s">
        <v>740</v>
      </c>
      <c r="I933" s="7" t="s">
        <v>734</v>
      </c>
      <c r="J933" s="5" t="s">
        <v>2264</v>
      </c>
      <c r="K933" s="14" t="s">
        <v>578</v>
      </c>
      <c r="L933" s="7" t="s">
        <v>579</v>
      </c>
      <c r="M933" s="7" t="s">
        <v>610</v>
      </c>
      <c r="N933" s="7" t="s">
        <v>581</v>
      </c>
    </row>
    <row r="934">
      <c r="A934" s="4">
        <v>46037.0</v>
      </c>
      <c r="B934" s="7" t="s">
        <v>2265</v>
      </c>
      <c r="C934" s="21">
        <f>+542302596486</f>
        <v>542302596486</v>
      </c>
      <c r="D934" s="7" t="s">
        <v>2266</v>
      </c>
      <c r="E934" s="14" t="s">
        <v>24</v>
      </c>
      <c r="F934" s="12" t="s">
        <v>17</v>
      </c>
      <c r="G934" s="14" t="s">
        <v>25</v>
      </c>
      <c r="H934" s="12" t="s">
        <v>740</v>
      </c>
      <c r="I934" s="7" t="s">
        <v>2267</v>
      </c>
      <c r="K934" s="14" t="s">
        <v>578</v>
      </c>
      <c r="L934" s="7" t="s">
        <v>579</v>
      </c>
      <c r="M934" s="7" t="s">
        <v>1055</v>
      </c>
      <c r="N934" s="7" t="s">
        <v>585</v>
      </c>
    </row>
    <row r="935">
      <c r="A935" s="4">
        <v>46037.0</v>
      </c>
      <c r="B935" s="7" t="s">
        <v>2268</v>
      </c>
      <c r="C935" s="21">
        <f>+542302671076</f>
        <v>542302671076</v>
      </c>
      <c r="D935" s="7" t="s">
        <v>2269</v>
      </c>
      <c r="E935" s="7" t="s">
        <v>577</v>
      </c>
      <c r="F935" s="14" t="s">
        <v>21</v>
      </c>
      <c r="G935" s="14" t="s">
        <v>25</v>
      </c>
      <c r="H935" s="12" t="s">
        <v>740</v>
      </c>
      <c r="I935" s="7" t="s">
        <v>2270</v>
      </c>
      <c r="K935" s="14" t="s">
        <v>578</v>
      </c>
      <c r="L935" s="7" t="s">
        <v>579</v>
      </c>
      <c r="M935" s="7" t="s">
        <v>1055</v>
      </c>
      <c r="N935" s="7" t="s">
        <v>581</v>
      </c>
    </row>
    <row r="936">
      <c r="A936" s="4">
        <v>46037.0</v>
      </c>
      <c r="B936" s="7" t="s">
        <v>2271</v>
      </c>
      <c r="C936" s="21">
        <f>+543562528778</f>
        <v>543562528778</v>
      </c>
      <c r="D936" s="7" t="s">
        <v>2272</v>
      </c>
      <c r="E936" s="14" t="s">
        <v>24</v>
      </c>
      <c r="F936" s="14" t="s">
        <v>21</v>
      </c>
      <c r="G936" s="14" t="s">
        <v>25</v>
      </c>
      <c r="H936" s="12" t="s">
        <v>717</v>
      </c>
      <c r="I936" s="7" t="s">
        <v>2273</v>
      </c>
      <c r="K936" s="14" t="s">
        <v>578</v>
      </c>
      <c r="L936" s="7" t="s">
        <v>579</v>
      </c>
      <c r="M936" s="7" t="s">
        <v>1055</v>
      </c>
      <c r="N936" s="7" t="s">
        <v>585</v>
      </c>
    </row>
    <row r="937">
      <c r="A937" s="4">
        <v>46037.0</v>
      </c>
      <c r="B937" s="7" t="s">
        <v>2274</v>
      </c>
      <c r="C937" s="21">
        <f>+543624317517</f>
        <v>543624317517</v>
      </c>
      <c r="D937" s="7" t="s">
        <v>2275</v>
      </c>
      <c r="E937" s="14" t="s">
        <v>16</v>
      </c>
      <c r="F937" s="14" t="s">
        <v>32</v>
      </c>
      <c r="G937" s="14" t="s">
        <v>25</v>
      </c>
      <c r="H937" s="12" t="s">
        <v>745</v>
      </c>
      <c r="I937" s="7" t="s">
        <v>2276</v>
      </c>
      <c r="K937" s="14" t="s">
        <v>578</v>
      </c>
      <c r="L937" s="7" t="s">
        <v>579</v>
      </c>
      <c r="M937" s="7" t="s">
        <v>610</v>
      </c>
      <c r="N937" s="7" t="s">
        <v>581</v>
      </c>
    </row>
    <row r="938">
      <c r="A938" s="4">
        <v>46038.0</v>
      </c>
      <c r="B938" s="7" t="s">
        <v>2277</v>
      </c>
      <c r="C938" s="21">
        <f>+542923419869</f>
        <v>542923419869</v>
      </c>
      <c r="D938" s="7" t="s">
        <v>2278</v>
      </c>
      <c r="E938" s="7" t="s">
        <v>577</v>
      </c>
      <c r="F938" s="14" t="s">
        <v>21</v>
      </c>
      <c r="G938" s="14" t="s">
        <v>18</v>
      </c>
      <c r="H938" s="12" t="s">
        <v>717</v>
      </c>
      <c r="I938" s="7" t="s">
        <v>874</v>
      </c>
      <c r="K938" s="14" t="s">
        <v>578</v>
      </c>
      <c r="L938" s="7" t="s">
        <v>579</v>
      </c>
      <c r="M938" s="7" t="s">
        <v>610</v>
      </c>
      <c r="N938" s="7" t="s">
        <v>585</v>
      </c>
    </row>
    <row r="939">
      <c r="A939" s="4">
        <v>46038.0</v>
      </c>
      <c r="B939" s="7" t="s">
        <v>2279</v>
      </c>
      <c r="C939" s="21">
        <f>+5493465659191</f>
        <v>5493465659191</v>
      </c>
      <c r="D939" s="7" t="s">
        <v>2280</v>
      </c>
      <c r="E939" s="14" t="s">
        <v>24</v>
      </c>
      <c r="F939" s="14" t="s">
        <v>21</v>
      </c>
      <c r="G939" s="14" t="s">
        <v>25</v>
      </c>
      <c r="H939" s="12" t="s">
        <v>717</v>
      </c>
      <c r="I939" s="7" t="s">
        <v>718</v>
      </c>
      <c r="K939" s="14" t="s">
        <v>578</v>
      </c>
      <c r="L939" s="7" t="s">
        <v>579</v>
      </c>
      <c r="M939" s="7" t="s">
        <v>610</v>
      </c>
      <c r="N939" s="7" t="s">
        <v>585</v>
      </c>
    </row>
    <row r="940">
      <c r="A940" s="4">
        <v>46038.0</v>
      </c>
      <c r="B940" s="7" t="s">
        <v>2281</v>
      </c>
      <c r="C940" s="23">
        <v>1.162041755E9</v>
      </c>
      <c r="D940" s="7" t="s">
        <v>2282</v>
      </c>
      <c r="E940" s="14" t="s">
        <v>24</v>
      </c>
      <c r="F940" s="14" t="s">
        <v>21</v>
      </c>
      <c r="G940" s="14" t="s">
        <v>18</v>
      </c>
      <c r="H940" s="12" t="s">
        <v>740</v>
      </c>
      <c r="I940" s="7" t="s">
        <v>2283</v>
      </c>
      <c r="K940" s="14" t="s">
        <v>578</v>
      </c>
      <c r="L940" s="7" t="s">
        <v>584</v>
      </c>
      <c r="M940" s="7" t="s">
        <v>580</v>
      </c>
      <c r="N940" s="7" t="s">
        <v>585</v>
      </c>
    </row>
    <row r="941">
      <c r="A941" s="4">
        <v>46039.0</v>
      </c>
      <c r="B941" s="7" t="s">
        <v>2284</v>
      </c>
      <c r="C941" s="21">
        <f>+542665103575</f>
        <v>542665103575</v>
      </c>
      <c r="D941" s="7" t="s">
        <v>2285</v>
      </c>
      <c r="E941" s="7" t="s">
        <v>577</v>
      </c>
      <c r="F941" s="14" t="s">
        <v>21</v>
      </c>
      <c r="G941" s="14" t="s">
        <v>25</v>
      </c>
      <c r="H941" s="12" t="s">
        <v>717</v>
      </c>
      <c r="I941" s="7" t="s">
        <v>2286</v>
      </c>
      <c r="K941" s="14" t="s">
        <v>578</v>
      </c>
      <c r="L941" s="7" t="s">
        <v>579</v>
      </c>
      <c r="M941" s="7" t="s">
        <v>610</v>
      </c>
      <c r="N941" s="7" t="s">
        <v>585</v>
      </c>
    </row>
    <row r="942">
      <c r="A942" s="4">
        <v>46039.0</v>
      </c>
      <c r="B942" s="7" t="s">
        <v>2287</v>
      </c>
      <c r="C942" s="21">
        <f>+542995467390</f>
        <v>542995467390</v>
      </c>
      <c r="D942" s="7" t="s">
        <v>2288</v>
      </c>
      <c r="E942" s="14" t="s">
        <v>24</v>
      </c>
      <c r="F942" s="14" t="s">
        <v>21</v>
      </c>
      <c r="G942" s="14" t="s">
        <v>18</v>
      </c>
      <c r="H942" s="12" t="s">
        <v>717</v>
      </c>
      <c r="I942" s="7" t="s">
        <v>2289</v>
      </c>
      <c r="K942" s="14" t="s">
        <v>578</v>
      </c>
      <c r="L942" s="7" t="s">
        <v>579</v>
      </c>
      <c r="M942" s="7" t="s">
        <v>624</v>
      </c>
      <c r="N942" s="7" t="s">
        <v>581</v>
      </c>
    </row>
    <row r="943">
      <c r="A943" s="4">
        <v>46039.0</v>
      </c>
      <c r="B943" s="7" t="s">
        <v>2290</v>
      </c>
      <c r="C943" s="21">
        <f>+543482689644</f>
        <v>543482689644</v>
      </c>
      <c r="D943" s="7" t="s">
        <v>2291</v>
      </c>
      <c r="E943" s="14" t="s">
        <v>24</v>
      </c>
      <c r="F943" s="14" t="s">
        <v>21</v>
      </c>
      <c r="G943" s="14" t="s">
        <v>25</v>
      </c>
      <c r="H943" s="12" t="s">
        <v>740</v>
      </c>
      <c r="I943" s="7" t="s">
        <v>1289</v>
      </c>
      <c r="K943" s="14" t="s">
        <v>578</v>
      </c>
      <c r="L943" s="7" t="s">
        <v>579</v>
      </c>
      <c r="M943" s="7" t="s">
        <v>624</v>
      </c>
      <c r="N943" s="7" t="s">
        <v>585</v>
      </c>
    </row>
    <row r="944">
      <c r="A944" s="4">
        <v>46039.0</v>
      </c>
      <c r="B944" s="7" t="s">
        <v>2292</v>
      </c>
      <c r="C944" s="21">
        <f>+541156676291</f>
        <v>541156676291</v>
      </c>
      <c r="D944" s="7" t="s">
        <v>2293</v>
      </c>
      <c r="E944" s="14" t="s">
        <v>24</v>
      </c>
      <c r="F944" s="14" t="s">
        <v>21</v>
      </c>
      <c r="G944" s="14" t="s">
        <v>18</v>
      </c>
      <c r="H944" s="12" t="s">
        <v>717</v>
      </c>
      <c r="I944" s="7" t="s">
        <v>731</v>
      </c>
      <c r="K944" s="14" t="s">
        <v>578</v>
      </c>
      <c r="L944" s="7" t="s">
        <v>584</v>
      </c>
      <c r="M944" s="7" t="s">
        <v>580</v>
      </c>
      <c r="N944" s="7" t="s">
        <v>585</v>
      </c>
    </row>
    <row r="945">
      <c r="A945" s="4">
        <v>46039.0</v>
      </c>
      <c r="B945" s="7" t="s">
        <v>2294</v>
      </c>
      <c r="C945" s="21">
        <f>+542224505765</f>
        <v>542224505765</v>
      </c>
      <c r="D945" s="7" t="s">
        <v>2295</v>
      </c>
      <c r="E945" s="7" t="s">
        <v>577</v>
      </c>
      <c r="F945" s="14" t="s">
        <v>21</v>
      </c>
      <c r="G945" s="14" t="s">
        <v>18</v>
      </c>
      <c r="H945" s="12" t="s">
        <v>717</v>
      </c>
      <c r="I945" s="7" t="s">
        <v>780</v>
      </c>
      <c r="K945" s="14" t="s">
        <v>578</v>
      </c>
      <c r="L945" s="7" t="s">
        <v>584</v>
      </c>
      <c r="M945" s="7" t="s">
        <v>580</v>
      </c>
      <c r="N945" s="7" t="s">
        <v>581</v>
      </c>
    </row>
    <row r="946">
      <c r="A946" s="4">
        <v>46039.0</v>
      </c>
      <c r="B946" s="7" t="s">
        <v>2296</v>
      </c>
      <c r="C946" s="21">
        <f>+541130365267</f>
        <v>541130365267</v>
      </c>
      <c r="D946" s="7" t="s">
        <v>2297</v>
      </c>
      <c r="E946" s="14" t="s">
        <v>24</v>
      </c>
      <c r="F946" s="14" t="s">
        <v>21</v>
      </c>
      <c r="G946" s="14" t="s">
        <v>25</v>
      </c>
      <c r="H946" s="12" t="s">
        <v>745</v>
      </c>
      <c r="I946" s="7" t="s">
        <v>874</v>
      </c>
      <c r="K946" s="14" t="s">
        <v>578</v>
      </c>
      <c r="L946" s="7" t="s">
        <v>584</v>
      </c>
      <c r="M946" s="7" t="s">
        <v>580</v>
      </c>
      <c r="N946" s="7" t="s">
        <v>585</v>
      </c>
    </row>
    <row r="947">
      <c r="A947" s="4">
        <v>46039.0</v>
      </c>
      <c r="B947" s="7" t="s">
        <v>2298</v>
      </c>
      <c r="C947" s="21">
        <f>+543412028636</f>
        <v>543412028636</v>
      </c>
      <c r="D947" s="7" t="s">
        <v>2299</v>
      </c>
      <c r="E947" s="14" t="s">
        <v>24</v>
      </c>
      <c r="F947" s="14" t="s">
        <v>21</v>
      </c>
      <c r="G947" s="14" t="s">
        <v>25</v>
      </c>
      <c r="H947" s="12" t="s">
        <v>717</v>
      </c>
      <c r="I947" s="7" t="s">
        <v>818</v>
      </c>
      <c r="K947" s="14" t="s">
        <v>578</v>
      </c>
      <c r="L947" s="7" t="s">
        <v>579</v>
      </c>
      <c r="M947" s="7" t="s">
        <v>610</v>
      </c>
      <c r="N947" s="7" t="s">
        <v>585</v>
      </c>
    </row>
    <row r="948">
      <c r="A948" s="4">
        <v>46039.0</v>
      </c>
      <c r="B948" s="7" t="s">
        <v>2300</v>
      </c>
      <c r="C948" s="21">
        <f>+543584361419</f>
        <v>543584361419</v>
      </c>
      <c r="D948" s="7" t="s">
        <v>2301</v>
      </c>
      <c r="E948" s="14" t="s">
        <v>24</v>
      </c>
      <c r="F948" s="12" t="s">
        <v>17</v>
      </c>
      <c r="G948" s="14" t="s">
        <v>18</v>
      </c>
      <c r="H948" s="12" t="s">
        <v>717</v>
      </c>
      <c r="I948" s="7" t="s">
        <v>759</v>
      </c>
      <c r="K948" s="14" t="s">
        <v>578</v>
      </c>
      <c r="L948" s="7" t="s">
        <v>579</v>
      </c>
      <c r="M948" s="7" t="s">
        <v>610</v>
      </c>
      <c r="N948" s="7" t="s">
        <v>585</v>
      </c>
    </row>
    <row r="949">
      <c r="A949" s="4">
        <v>46040.0</v>
      </c>
      <c r="B949" s="7" t="s">
        <v>2302</v>
      </c>
      <c r="C949" s="21">
        <f>+543815940515</f>
        <v>543815940515</v>
      </c>
      <c r="D949" s="7" t="s">
        <v>2303</v>
      </c>
      <c r="E949" s="7" t="s">
        <v>577</v>
      </c>
      <c r="F949" s="14" t="s">
        <v>21</v>
      </c>
      <c r="G949" s="14" t="s">
        <v>25</v>
      </c>
      <c r="H949" s="12" t="s">
        <v>740</v>
      </c>
      <c r="I949" s="7" t="s">
        <v>2304</v>
      </c>
      <c r="K949" s="14" t="s">
        <v>578</v>
      </c>
      <c r="L949" s="7" t="s">
        <v>579</v>
      </c>
      <c r="M949" s="7" t="s">
        <v>624</v>
      </c>
      <c r="N949" s="7" t="s">
        <v>585</v>
      </c>
    </row>
    <row r="950">
      <c r="A950" s="4">
        <v>46040.0</v>
      </c>
      <c r="B950" s="7" t="s">
        <v>2305</v>
      </c>
      <c r="C950" s="21">
        <f>+5492364576625</f>
        <v>5492364576625</v>
      </c>
      <c r="D950" s="7" t="s">
        <v>2306</v>
      </c>
      <c r="E950" s="14" t="s">
        <v>16</v>
      </c>
      <c r="F950" s="12" t="s">
        <v>17</v>
      </c>
      <c r="G950" s="14" t="s">
        <v>25</v>
      </c>
      <c r="H950" s="12" t="s">
        <v>740</v>
      </c>
      <c r="I950" s="7" t="s">
        <v>2307</v>
      </c>
      <c r="K950" s="14" t="s">
        <v>578</v>
      </c>
      <c r="L950" s="7" t="s">
        <v>579</v>
      </c>
      <c r="M950" s="7" t="s">
        <v>624</v>
      </c>
      <c r="N950" s="7" t="s">
        <v>585</v>
      </c>
    </row>
    <row r="951">
      <c r="A951" s="4">
        <v>46040.0</v>
      </c>
      <c r="B951" s="7" t="s">
        <v>1879</v>
      </c>
      <c r="C951" s="21">
        <f>+542966447622</f>
        <v>542966447622</v>
      </c>
      <c r="D951" s="7" t="s">
        <v>1880</v>
      </c>
      <c r="E951" s="14" t="s">
        <v>24</v>
      </c>
      <c r="F951" s="14" t="s">
        <v>21</v>
      </c>
      <c r="G951" s="14" t="s">
        <v>25</v>
      </c>
      <c r="H951" s="12" t="s">
        <v>717</v>
      </c>
      <c r="I951" s="7" t="s">
        <v>2308</v>
      </c>
      <c r="K951" s="14" t="s">
        <v>578</v>
      </c>
      <c r="L951" s="7" t="s">
        <v>579</v>
      </c>
      <c r="M951" s="7" t="s">
        <v>624</v>
      </c>
      <c r="N951" s="7" t="s">
        <v>585</v>
      </c>
    </row>
    <row r="952">
      <c r="A952" s="4">
        <v>46040.0</v>
      </c>
      <c r="B952" s="7" t="s">
        <v>2309</v>
      </c>
      <c r="C952" s="21">
        <f>+543564670466</f>
        <v>543564670466</v>
      </c>
      <c r="D952" s="7" t="s">
        <v>2310</v>
      </c>
      <c r="E952" s="14" t="s">
        <v>16</v>
      </c>
      <c r="F952" s="14" t="s">
        <v>32</v>
      </c>
      <c r="G952" s="14" t="s">
        <v>25</v>
      </c>
      <c r="H952" s="12" t="s">
        <v>717</v>
      </c>
      <c r="I952" s="7" t="s">
        <v>2311</v>
      </c>
      <c r="K952" s="14" t="s">
        <v>578</v>
      </c>
      <c r="L952" s="7" t="s">
        <v>579</v>
      </c>
      <c r="M952" s="7" t="s">
        <v>624</v>
      </c>
      <c r="N952" s="7" t="s">
        <v>585</v>
      </c>
    </row>
    <row r="953">
      <c r="A953" s="4">
        <v>46040.0</v>
      </c>
      <c r="B953" s="7" t="s">
        <v>784</v>
      </c>
      <c r="C953" s="21">
        <f>+543533589609</f>
        <v>543533589609</v>
      </c>
      <c r="D953" s="7" t="s">
        <v>2312</v>
      </c>
      <c r="E953" s="14" t="s">
        <v>16</v>
      </c>
      <c r="F953" s="14" t="s">
        <v>21</v>
      </c>
      <c r="G953" s="14" t="s">
        <v>18</v>
      </c>
      <c r="H953" s="12" t="s">
        <v>717</v>
      </c>
      <c r="I953" s="7" t="s">
        <v>759</v>
      </c>
      <c r="K953" s="14" t="s">
        <v>578</v>
      </c>
      <c r="L953" s="7" t="s">
        <v>579</v>
      </c>
      <c r="M953" s="7" t="s">
        <v>624</v>
      </c>
      <c r="N953" s="7" t="s">
        <v>585</v>
      </c>
    </row>
    <row r="954">
      <c r="A954" s="4">
        <v>46040.0</v>
      </c>
      <c r="B954" s="7" t="s">
        <v>2313</v>
      </c>
      <c r="C954" s="21">
        <f>+543731633993</f>
        <v>543731633993</v>
      </c>
      <c r="D954" s="7" t="s">
        <v>2314</v>
      </c>
      <c r="E954" s="14" t="s">
        <v>24</v>
      </c>
      <c r="F954" s="14" t="s">
        <v>21</v>
      </c>
      <c r="G954" s="14" t="s">
        <v>25</v>
      </c>
      <c r="H954" s="12" t="s">
        <v>717</v>
      </c>
      <c r="I954" s="7" t="s">
        <v>2315</v>
      </c>
      <c r="K954" s="14" t="s">
        <v>578</v>
      </c>
      <c r="L954" s="7" t="s">
        <v>579</v>
      </c>
      <c r="M954" s="7" t="s">
        <v>624</v>
      </c>
      <c r="N954" s="7" t="s">
        <v>581</v>
      </c>
    </row>
    <row r="955">
      <c r="A955" s="4">
        <v>46040.0</v>
      </c>
      <c r="B955" s="7" t="s">
        <v>2316</v>
      </c>
      <c r="C955" s="21">
        <f>+5493404490829</f>
        <v>5493404490829</v>
      </c>
      <c r="D955" s="7" t="s">
        <v>2317</v>
      </c>
      <c r="E955" s="14" t="s">
        <v>16</v>
      </c>
      <c r="F955" s="14" t="s">
        <v>21</v>
      </c>
      <c r="G955" s="14" t="s">
        <v>25</v>
      </c>
      <c r="H955" s="12" t="s">
        <v>745</v>
      </c>
      <c r="I955" s="7" t="s">
        <v>756</v>
      </c>
      <c r="K955" s="14" t="s">
        <v>578</v>
      </c>
      <c r="L955" s="7" t="s">
        <v>579</v>
      </c>
      <c r="M955" s="7" t="s">
        <v>624</v>
      </c>
      <c r="N955" s="7" t="s">
        <v>581</v>
      </c>
    </row>
    <row r="956">
      <c r="A956" s="4">
        <v>46040.0</v>
      </c>
      <c r="B956" s="7" t="s">
        <v>2318</v>
      </c>
      <c r="C956" s="21">
        <f>+5491135864179</f>
        <v>5491135864179</v>
      </c>
      <c r="D956" s="7" t="s">
        <v>2319</v>
      </c>
      <c r="E956" s="14" t="s">
        <v>24</v>
      </c>
      <c r="F956" s="14" t="s">
        <v>32</v>
      </c>
      <c r="G956" s="19" t="s">
        <v>1045</v>
      </c>
      <c r="H956" s="12" t="s">
        <v>717</v>
      </c>
      <c r="I956" s="7" t="s">
        <v>2320</v>
      </c>
      <c r="K956" s="14" t="s">
        <v>578</v>
      </c>
      <c r="L956" s="7" t="s">
        <v>584</v>
      </c>
      <c r="M956" s="7" t="s">
        <v>580</v>
      </c>
      <c r="N956" s="7" t="s">
        <v>585</v>
      </c>
    </row>
    <row r="957">
      <c r="A957" s="4">
        <v>46040.0</v>
      </c>
      <c r="B957" s="7" t="s">
        <v>2321</v>
      </c>
      <c r="C957" s="21">
        <f>+543513077761</f>
        <v>543513077761</v>
      </c>
      <c r="D957" s="7" t="s">
        <v>2322</v>
      </c>
      <c r="E957" s="14" t="s">
        <v>24</v>
      </c>
      <c r="F957" s="14" t="s">
        <v>21</v>
      </c>
      <c r="G957" s="14" t="s">
        <v>25</v>
      </c>
      <c r="H957" s="12" t="s">
        <v>717</v>
      </c>
      <c r="I957" s="7" t="s">
        <v>2323</v>
      </c>
      <c r="K957" s="14" t="s">
        <v>578</v>
      </c>
      <c r="L957" s="7" t="s">
        <v>579</v>
      </c>
      <c r="M957" s="7" t="s">
        <v>624</v>
      </c>
      <c r="N957" s="7" t="s">
        <v>581</v>
      </c>
    </row>
    <row r="958">
      <c r="A958" s="4">
        <v>46040.0</v>
      </c>
      <c r="B958" s="7" t="s">
        <v>2324</v>
      </c>
      <c r="C958" s="21">
        <f>+5492975908907</f>
        <v>5492975908907</v>
      </c>
      <c r="D958" s="7" t="s">
        <v>2325</v>
      </c>
      <c r="E958" s="7" t="s">
        <v>577</v>
      </c>
      <c r="F958" s="14" t="s">
        <v>21</v>
      </c>
      <c r="G958" s="14" t="s">
        <v>25</v>
      </c>
      <c r="H958" s="12" t="s">
        <v>717</v>
      </c>
      <c r="I958" s="7" t="s">
        <v>2326</v>
      </c>
      <c r="K958" s="14" t="s">
        <v>578</v>
      </c>
      <c r="L958" s="7" t="s">
        <v>579</v>
      </c>
      <c r="M958" s="7" t="s">
        <v>580</v>
      </c>
      <c r="N958" s="7" t="s">
        <v>581</v>
      </c>
    </row>
    <row r="959">
      <c r="A959" s="4">
        <v>46041.0</v>
      </c>
      <c r="B959" s="7" t="s">
        <v>2327</v>
      </c>
      <c r="C959" s="21">
        <f>+543775502699</f>
        <v>543775502699</v>
      </c>
      <c r="D959" s="7" t="s">
        <v>2328</v>
      </c>
      <c r="E959" s="14" t="s">
        <v>24</v>
      </c>
      <c r="F959" s="12" t="s">
        <v>17</v>
      </c>
      <c r="G959" s="14" t="s">
        <v>25</v>
      </c>
      <c r="H959" s="12" t="s">
        <v>745</v>
      </c>
      <c r="I959" s="7" t="s">
        <v>2329</v>
      </c>
      <c r="K959" s="14" t="s">
        <v>578</v>
      </c>
      <c r="L959" s="7" t="s">
        <v>579</v>
      </c>
      <c r="M959" s="7" t="s">
        <v>624</v>
      </c>
      <c r="N959" s="7" t="s">
        <v>585</v>
      </c>
    </row>
    <row r="960">
      <c r="A960" s="4">
        <v>46041.0</v>
      </c>
      <c r="B960" s="7" t="s">
        <v>2330</v>
      </c>
      <c r="C960" s="21">
        <f>+541121848080</f>
        <v>541121848080</v>
      </c>
      <c r="D960" s="7" t="s">
        <v>2331</v>
      </c>
      <c r="E960" s="7" t="s">
        <v>577</v>
      </c>
      <c r="F960" s="14" t="s">
        <v>21</v>
      </c>
      <c r="G960" s="14" t="s">
        <v>25</v>
      </c>
      <c r="H960" s="12" t="s">
        <v>745</v>
      </c>
      <c r="I960" s="7" t="s">
        <v>2332</v>
      </c>
      <c r="K960" s="14" t="s">
        <v>578</v>
      </c>
      <c r="L960" s="7" t="s">
        <v>584</v>
      </c>
      <c r="M960" s="7" t="s">
        <v>1055</v>
      </c>
      <c r="N960" s="7" t="s">
        <v>585</v>
      </c>
    </row>
    <row r="961">
      <c r="A961" s="4">
        <v>46041.0</v>
      </c>
      <c r="B961" s="7" t="s">
        <v>2333</v>
      </c>
      <c r="C961" s="21">
        <f>+541173686489</f>
        <v>541173686489</v>
      </c>
      <c r="D961" s="7" t="s">
        <v>2334</v>
      </c>
      <c r="E961" s="14" t="s">
        <v>24</v>
      </c>
      <c r="F961" s="14" t="s">
        <v>21</v>
      </c>
      <c r="G961" s="14" t="s">
        <v>25</v>
      </c>
      <c r="H961" s="12" t="s">
        <v>717</v>
      </c>
      <c r="I961" s="7" t="s">
        <v>2335</v>
      </c>
      <c r="K961" s="14" t="s">
        <v>578</v>
      </c>
      <c r="L961" s="7" t="s">
        <v>584</v>
      </c>
      <c r="M961" s="7" t="s">
        <v>1055</v>
      </c>
      <c r="N961" s="7" t="s">
        <v>585</v>
      </c>
    </row>
    <row r="962">
      <c r="A962" s="4">
        <v>46041.0</v>
      </c>
      <c r="B962" s="7" t="s">
        <v>2336</v>
      </c>
      <c r="C962" s="23">
        <v>3.755500629E9</v>
      </c>
      <c r="D962" s="7" t="s">
        <v>2337</v>
      </c>
      <c r="E962" s="7" t="s">
        <v>577</v>
      </c>
      <c r="F962" s="14" t="s">
        <v>21</v>
      </c>
      <c r="G962" s="14" t="s">
        <v>25</v>
      </c>
      <c r="H962" s="12" t="s">
        <v>717</v>
      </c>
      <c r="I962" s="7" t="s">
        <v>1583</v>
      </c>
      <c r="K962" s="14" t="s">
        <v>578</v>
      </c>
      <c r="L962" s="7" t="s">
        <v>579</v>
      </c>
      <c r="M962" s="7" t="s">
        <v>624</v>
      </c>
      <c r="N962" s="7" t="s">
        <v>581</v>
      </c>
    </row>
    <row r="963">
      <c r="A963" s="4">
        <v>46041.0</v>
      </c>
      <c r="B963" s="7" t="s">
        <v>2338</v>
      </c>
      <c r="C963" s="21">
        <f>+541137804322</f>
        <v>541137804322</v>
      </c>
      <c r="D963" s="7" t="s">
        <v>2339</v>
      </c>
      <c r="E963" s="14" t="s">
        <v>24</v>
      </c>
      <c r="F963" s="14" t="s">
        <v>21</v>
      </c>
      <c r="G963" s="14" t="s">
        <v>25</v>
      </c>
      <c r="H963" s="12" t="s">
        <v>717</v>
      </c>
      <c r="I963" s="7" t="s">
        <v>2340</v>
      </c>
      <c r="K963" s="14" t="s">
        <v>578</v>
      </c>
      <c r="L963" s="7" t="s">
        <v>584</v>
      </c>
      <c r="M963" s="7" t="s">
        <v>1055</v>
      </c>
      <c r="N963" s="7" t="s">
        <v>581</v>
      </c>
    </row>
    <row r="964">
      <c r="A964" s="4">
        <v>46041.0</v>
      </c>
      <c r="B964" s="7" t="s">
        <v>2341</v>
      </c>
      <c r="C964" s="23">
        <v>3.426280684E9</v>
      </c>
      <c r="D964" s="7" t="s">
        <v>2342</v>
      </c>
      <c r="E964" s="14" t="s">
        <v>24</v>
      </c>
      <c r="F964" s="14" t="s">
        <v>21</v>
      </c>
      <c r="G964" s="14" t="s">
        <v>25</v>
      </c>
      <c r="H964" s="12" t="s">
        <v>717</v>
      </c>
      <c r="I964" s="7" t="s">
        <v>2343</v>
      </c>
      <c r="K964" s="14" t="s">
        <v>578</v>
      </c>
      <c r="L964" s="7" t="s">
        <v>579</v>
      </c>
      <c r="M964" s="7" t="s">
        <v>624</v>
      </c>
      <c r="N964" s="7" t="s">
        <v>585</v>
      </c>
    </row>
    <row r="965">
      <c r="A965" s="4">
        <v>46041.0</v>
      </c>
      <c r="B965" s="7" t="s">
        <v>2344</v>
      </c>
      <c r="C965" s="21">
        <f>+542664778834</f>
        <v>542664778834</v>
      </c>
      <c r="D965" s="7" t="s">
        <v>2345</v>
      </c>
      <c r="E965" s="7" t="s">
        <v>577</v>
      </c>
      <c r="F965" s="14" t="s">
        <v>21</v>
      </c>
      <c r="G965" s="14" t="s">
        <v>25</v>
      </c>
      <c r="H965" s="12" t="s">
        <v>740</v>
      </c>
      <c r="I965" s="7" t="s">
        <v>718</v>
      </c>
      <c r="K965" s="14" t="s">
        <v>578</v>
      </c>
      <c r="L965" s="7" t="s">
        <v>579</v>
      </c>
      <c r="M965" s="7" t="s">
        <v>624</v>
      </c>
      <c r="N965" s="7" t="s">
        <v>585</v>
      </c>
    </row>
    <row r="966">
      <c r="A966" s="4">
        <v>46041.0</v>
      </c>
      <c r="B966" s="7" t="s">
        <v>2346</v>
      </c>
      <c r="C966" s="21">
        <f>+5491159046837</f>
        <v>5491159046837</v>
      </c>
      <c r="D966" s="7" t="s">
        <v>2347</v>
      </c>
      <c r="E966" s="7" t="s">
        <v>577</v>
      </c>
      <c r="F966" s="14" t="s">
        <v>21</v>
      </c>
      <c r="G966" s="19" t="s">
        <v>1045</v>
      </c>
      <c r="H966" s="12" t="s">
        <v>717</v>
      </c>
      <c r="I966" s="7" t="s">
        <v>2348</v>
      </c>
      <c r="K966" s="14" t="s">
        <v>578</v>
      </c>
      <c r="L966" s="7" t="s">
        <v>584</v>
      </c>
      <c r="M966" s="7" t="s">
        <v>1055</v>
      </c>
      <c r="N966" s="7" t="s">
        <v>585</v>
      </c>
    </row>
    <row r="967">
      <c r="A967" s="4">
        <v>46042.0</v>
      </c>
      <c r="B967" s="7" t="s">
        <v>2349</v>
      </c>
      <c r="C967" s="21">
        <f>+541170663842</f>
        <v>541170663842</v>
      </c>
      <c r="D967" s="7" t="s">
        <v>2350</v>
      </c>
      <c r="E967" s="14" t="s">
        <v>24</v>
      </c>
      <c r="F967" s="14" t="s">
        <v>21</v>
      </c>
      <c r="G967" s="14" t="s">
        <v>25</v>
      </c>
      <c r="H967" s="12" t="s">
        <v>717</v>
      </c>
      <c r="I967" s="7" t="s">
        <v>718</v>
      </c>
      <c r="K967" s="14" t="s">
        <v>578</v>
      </c>
      <c r="L967" s="7" t="s">
        <v>584</v>
      </c>
      <c r="M967" s="7" t="s">
        <v>1055</v>
      </c>
      <c r="N967" s="7" t="s">
        <v>585</v>
      </c>
    </row>
    <row r="968">
      <c r="A968" s="4">
        <v>46042.0</v>
      </c>
      <c r="B968" s="7" t="s">
        <v>2351</v>
      </c>
      <c r="C968" s="21">
        <f>+542994166685</f>
        <v>542994166685</v>
      </c>
      <c r="D968" s="7" t="s">
        <v>2352</v>
      </c>
      <c r="E968" s="14" t="s">
        <v>24</v>
      </c>
      <c r="F968" s="14" t="s">
        <v>21</v>
      </c>
      <c r="G968" s="19" t="s">
        <v>1045</v>
      </c>
      <c r="H968" s="12" t="s">
        <v>717</v>
      </c>
      <c r="I968" s="7" t="s">
        <v>2353</v>
      </c>
      <c r="K968" s="14" t="s">
        <v>578</v>
      </c>
      <c r="L968" s="7" t="s">
        <v>579</v>
      </c>
      <c r="M968" s="7" t="s">
        <v>624</v>
      </c>
      <c r="N968" s="7" t="s">
        <v>585</v>
      </c>
    </row>
    <row r="969">
      <c r="A969" s="4">
        <v>46042.0</v>
      </c>
      <c r="B969" s="7" t="s">
        <v>2354</v>
      </c>
      <c r="C969" s="21">
        <f>+542644423448</f>
        <v>542644423448</v>
      </c>
      <c r="D969" s="7" t="s">
        <v>2355</v>
      </c>
      <c r="E969" s="14" t="s">
        <v>24</v>
      </c>
      <c r="F969" s="12" t="s">
        <v>17</v>
      </c>
      <c r="G969" s="14" t="s">
        <v>25</v>
      </c>
      <c r="H969" s="12" t="s">
        <v>717</v>
      </c>
      <c r="I969" s="7" t="s">
        <v>2356</v>
      </c>
      <c r="K969" s="14" t="s">
        <v>578</v>
      </c>
      <c r="L969" s="7" t="s">
        <v>579</v>
      </c>
      <c r="M969" s="7" t="s">
        <v>624</v>
      </c>
      <c r="N969" s="7" t="s">
        <v>585</v>
      </c>
    </row>
    <row r="970">
      <c r="A970" s="4">
        <v>46042.0</v>
      </c>
      <c r="B970" s="7" t="s">
        <v>2357</v>
      </c>
      <c r="C970" s="21">
        <f>+543735540774</f>
        <v>543735540774</v>
      </c>
      <c r="D970" s="7" t="s">
        <v>2358</v>
      </c>
      <c r="E970" s="14" t="s">
        <v>24</v>
      </c>
      <c r="F970" s="14" t="s">
        <v>21</v>
      </c>
      <c r="G970" s="14" t="s">
        <v>18</v>
      </c>
      <c r="H970" s="12" t="s">
        <v>717</v>
      </c>
      <c r="I970" s="7" t="s">
        <v>2359</v>
      </c>
      <c r="K970" s="14" t="s">
        <v>578</v>
      </c>
      <c r="L970" s="7" t="s">
        <v>579</v>
      </c>
      <c r="M970" s="7" t="s">
        <v>624</v>
      </c>
      <c r="N970" s="7" t="s">
        <v>585</v>
      </c>
    </row>
    <row r="971">
      <c r="A971" s="4">
        <v>46042.0</v>
      </c>
      <c r="B971" s="7" t="s">
        <v>2360</v>
      </c>
      <c r="C971" s="21">
        <f>+543804227776</f>
        <v>543804227776</v>
      </c>
      <c r="D971" s="7" t="s">
        <v>2361</v>
      </c>
      <c r="E971" s="7" t="s">
        <v>577</v>
      </c>
      <c r="F971" s="14" t="s">
        <v>21</v>
      </c>
      <c r="G971" s="14" t="s">
        <v>25</v>
      </c>
      <c r="H971" s="12" t="s">
        <v>740</v>
      </c>
      <c r="I971" s="7" t="s">
        <v>1206</v>
      </c>
      <c r="K971" s="14" t="s">
        <v>578</v>
      </c>
      <c r="L971" s="7" t="s">
        <v>579</v>
      </c>
      <c r="M971" s="7" t="s">
        <v>624</v>
      </c>
      <c r="N971" s="7" t="s">
        <v>581</v>
      </c>
    </row>
    <row r="972">
      <c r="A972" s="4">
        <v>46042.0</v>
      </c>
      <c r="B972" s="7" t="s">
        <v>2362</v>
      </c>
      <c r="C972" s="21">
        <f>+541125469901</f>
        <v>541125469901</v>
      </c>
      <c r="D972" s="7" t="s">
        <v>2363</v>
      </c>
      <c r="E972" s="14" t="s">
        <v>24</v>
      </c>
      <c r="F972" s="14" t="s">
        <v>21</v>
      </c>
      <c r="G972" s="14" t="s">
        <v>18</v>
      </c>
      <c r="H972" s="12" t="s">
        <v>717</v>
      </c>
      <c r="I972" s="7" t="s">
        <v>1177</v>
      </c>
      <c r="K972" s="14" t="s">
        <v>578</v>
      </c>
      <c r="L972" s="7" t="s">
        <v>584</v>
      </c>
      <c r="M972" s="7" t="s">
        <v>1055</v>
      </c>
      <c r="N972" s="7" t="s">
        <v>585</v>
      </c>
    </row>
    <row r="973">
      <c r="A973" s="4">
        <v>46043.0</v>
      </c>
      <c r="B973" s="7" t="s">
        <v>2364</v>
      </c>
      <c r="C973" s="21">
        <f>+543512101881</f>
        <v>543512101881</v>
      </c>
      <c r="D973" s="7" t="s">
        <v>2365</v>
      </c>
      <c r="E973" s="14" t="s">
        <v>24</v>
      </c>
      <c r="F973" s="14" t="s">
        <v>21</v>
      </c>
      <c r="G973" s="19" t="s">
        <v>1045</v>
      </c>
      <c r="H973" s="12" t="s">
        <v>717</v>
      </c>
      <c r="I973" s="7" t="s">
        <v>2366</v>
      </c>
      <c r="K973" s="14" t="s">
        <v>578</v>
      </c>
      <c r="L973" s="7" t="s">
        <v>579</v>
      </c>
      <c r="M973" s="7" t="s">
        <v>610</v>
      </c>
      <c r="N973" s="7" t="s">
        <v>585</v>
      </c>
    </row>
    <row r="974">
      <c r="A974" s="4">
        <v>46043.0</v>
      </c>
      <c r="B974" s="7" t="s">
        <v>2367</v>
      </c>
      <c r="C974" s="21">
        <f>+543584203662</f>
        <v>543584203662</v>
      </c>
      <c r="D974" s="7" t="s">
        <v>2368</v>
      </c>
      <c r="E974" s="14" t="s">
        <v>24</v>
      </c>
      <c r="F974" s="14" t="s">
        <v>21</v>
      </c>
      <c r="G974" s="14" t="s">
        <v>25</v>
      </c>
      <c r="H974" s="12" t="s">
        <v>740</v>
      </c>
      <c r="I974" s="7" t="s">
        <v>992</v>
      </c>
      <c r="K974" s="14" t="s">
        <v>578</v>
      </c>
      <c r="L974" s="7" t="s">
        <v>584</v>
      </c>
      <c r="M974" s="7" t="s">
        <v>1055</v>
      </c>
      <c r="N974" s="7" t="s">
        <v>581</v>
      </c>
    </row>
    <row r="975">
      <c r="A975" s="4">
        <v>46043.0</v>
      </c>
      <c r="B975" s="7" t="s">
        <v>2369</v>
      </c>
      <c r="C975" s="21">
        <f>+542281557139</f>
        <v>542281557139</v>
      </c>
      <c r="D975" s="7" t="s">
        <v>2370</v>
      </c>
      <c r="E975" s="14" t="s">
        <v>16</v>
      </c>
      <c r="F975" s="14" t="s">
        <v>21</v>
      </c>
      <c r="G975" s="14" t="s">
        <v>18</v>
      </c>
      <c r="H975" s="12" t="s">
        <v>740</v>
      </c>
      <c r="I975" s="7" t="s">
        <v>2371</v>
      </c>
      <c r="K975" s="14" t="s">
        <v>578</v>
      </c>
      <c r="L975" s="7" t="s">
        <v>584</v>
      </c>
      <c r="M975" s="7" t="s">
        <v>1055</v>
      </c>
      <c r="N975" s="7" t="s">
        <v>585</v>
      </c>
    </row>
    <row r="976">
      <c r="A976" s="4">
        <v>46043.0</v>
      </c>
      <c r="B976" s="7" t="s">
        <v>2372</v>
      </c>
      <c r="C976" s="21">
        <f>+541166129973</f>
        <v>541166129973</v>
      </c>
      <c r="D976" s="7" t="s">
        <v>2373</v>
      </c>
      <c r="E976" s="14" t="s">
        <v>16</v>
      </c>
      <c r="F976" s="12" t="s">
        <v>17</v>
      </c>
      <c r="G976" s="14" t="s">
        <v>25</v>
      </c>
      <c r="H976" s="12" t="s">
        <v>727</v>
      </c>
      <c r="I976" s="7" t="s">
        <v>2374</v>
      </c>
      <c r="K976" s="14" t="s">
        <v>578</v>
      </c>
      <c r="L976" s="7" t="s">
        <v>584</v>
      </c>
      <c r="M976" s="7" t="s">
        <v>1055</v>
      </c>
      <c r="N976" s="7" t="s">
        <v>585</v>
      </c>
    </row>
    <row r="977">
      <c r="A977" s="4">
        <v>46043.0</v>
      </c>
      <c r="B977" s="7" t="s">
        <v>2375</v>
      </c>
      <c r="C977" s="21">
        <f>+542954393923</f>
        <v>542954393923</v>
      </c>
      <c r="D977" s="7" t="s">
        <v>2376</v>
      </c>
      <c r="E977" s="14" t="s">
        <v>16</v>
      </c>
      <c r="F977" s="14" t="s">
        <v>21</v>
      </c>
      <c r="G977" s="14" t="s">
        <v>25</v>
      </c>
      <c r="H977" s="12" t="s">
        <v>740</v>
      </c>
      <c r="I977" s="7" t="s">
        <v>734</v>
      </c>
      <c r="K977" s="14" t="s">
        <v>578</v>
      </c>
      <c r="L977" s="7" t="s">
        <v>579</v>
      </c>
      <c r="M977" s="7" t="s">
        <v>580</v>
      </c>
      <c r="N977" s="7" t="s">
        <v>585</v>
      </c>
    </row>
    <row r="978">
      <c r="A978" s="4">
        <v>46043.0</v>
      </c>
      <c r="B978" s="7" t="s">
        <v>2377</v>
      </c>
      <c r="C978" s="21">
        <f>+543725419769</f>
        <v>543725419769</v>
      </c>
      <c r="D978" s="7" t="s">
        <v>2378</v>
      </c>
      <c r="E978" s="14" t="s">
        <v>16</v>
      </c>
      <c r="F978" s="14" t="s">
        <v>21</v>
      </c>
      <c r="G978" s="14" t="s">
        <v>18</v>
      </c>
      <c r="H978" s="12" t="s">
        <v>717</v>
      </c>
      <c r="I978" s="7" t="s">
        <v>2379</v>
      </c>
      <c r="K978" s="14" t="s">
        <v>578</v>
      </c>
      <c r="L978" s="7" t="s">
        <v>579</v>
      </c>
      <c r="M978" s="7" t="s">
        <v>580</v>
      </c>
      <c r="N978" s="7" t="s">
        <v>585</v>
      </c>
    </row>
    <row r="979">
      <c r="A979" s="4">
        <v>46044.0</v>
      </c>
      <c r="B979" s="7" t="s">
        <v>2380</v>
      </c>
      <c r="C979" s="21">
        <f>+543516993209</f>
        <v>543516993209</v>
      </c>
      <c r="D979" s="7" t="s">
        <v>2381</v>
      </c>
      <c r="E979" s="7" t="s">
        <v>1841</v>
      </c>
      <c r="F979" s="14" t="s">
        <v>21</v>
      </c>
      <c r="G979" s="14" t="s">
        <v>18</v>
      </c>
      <c r="H979" s="12" t="s">
        <v>717</v>
      </c>
      <c r="I979" s="7" t="s">
        <v>2382</v>
      </c>
      <c r="K979" s="14" t="s">
        <v>578</v>
      </c>
      <c r="L979" s="7" t="s">
        <v>579</v>
      </c>
      <c r="M979" s="7" t="s">
        <v>624</v>
      </c>
      <c r="N979" s="7" t="s">
        <v>585</v>
      </c>
    </row>
    <row r="980">
      <c r="A980" s="4">
        <v>46044.0</v>
      </c>
      <c r="B980" s="7" t="s">
        <v>2383</v>
      </c>
      <c r="C980" s="21">
        <f>+541160543679</f>
        <v>541160543679</v>
      </c>
      <c r="D980" s="7" t="s">
        <v>2384</v>
      </c>
      <c r="E980" s="14" t="s">
        <v>24</v>
      </c>
      <c r="F980" s="14" t="s">
        <v>21</v>
      </c>
      <c r="G980" s="14" t="s">
        <v>25</v>
      </c>
      <c r="H980" s="12" t="s">
        <v>717</v>
      </c>
      <c r="I980" s="7" t="s">
        <v>756</v>
      </c>
      <c r="K980" s="14" t="s">
        <v>578</v>
      </c>
      <c r="L980" s="7" t="s">
        <v>579</v>
      </c>
      <c r="M980" s="7" t="s">
        <v>624</v>
      </c>
      <c r="N980" s="7" t="s">
        <v>581</v>
      </c>
    </row>
    <row r="981">
      <c r="A981" s="4">
        <v>46044.0</v>
      </c>
      <c r="B981" s="7" t="s">
        <v>2385</v>
      </c>
      <c r="C981" s="21">
        <f>+5491138744557</f>
        <v>5491138744557</v>
      </c>
      <c r="D981" s="7" t="s">
        <v>2386</v>
      </c>
      <c r="E981" s="14" t="s">
        <v>16</v>
      </c>
      <c r="F981" s="12" t="s">
        <v>17</v>
      </c>
      <c r="G981" s="14" t="s">
        <v>25</v>
      </c>
      <c r="H981" s="12" t="s">
        <v>740</v>
      </c>
      <c r="I981" s="7" t="s">
        <v>2387</v>
      </c>
      <c r="K981" s="14" t="s">
        <v>578</v>
      </c>
      <c r="L981" s="7" t="s">
        <v>584</v>
      </c>
      <c r="M981" s="7" t="s">
        <v>1055</v>
      </c>
      <c r="N981" s="7" t="s">
        <v>585</v>
      </c>
    </row>
    <row r="982">
      <c r="A982" s="4">
        <v>46044.0</v>
      </c>
      <c r="B982" s="7" t="s">
        <v>2388</v>
      </c>
      <c r="C982" s="21">
        <f>+543624046609</f>
        <v>543624046609</v>
      </c>
      <c r="D982" s="7" t="s">
        <v>2389</v>
      </c>
      <c r="E982" s="7" t="s">
        <v>577</v>
      </c>
      <c r="F982" s="14" t="s">
        <v>21</v>
      </c>
      <c r="G982" s="14" t="s">
        <v>25</v>
      </c>
      <c r="H982" s="12" t="s">
        <v>717</v>
      </c>
      <c r="I982" s="7" t="s">
        <v>2390</v>
      </c>
      <c r="K982" s="14" t="s">
        <v>578</v>
      </c>
      <c r="L982" s="7" t="s">
        <v>579</v>
      </c>
      <c r="M982" s="7" t="s">
        <v>610</v>
      </c>
      <c r="N982" s="7" t="s">
        <v>585</v>
      </c>
    </row>
    <row r="983">
      <c r="A983" s="4">
        <v>46044.0</v>
      </c>
      <c r="B983" s="7" t="s">
        <v>2391</v>
      </c>
      <c r="C983" s="21">
        <f>+542983351276</f>
        <v>542983351276</v>
      </c>
      <c r="D983" s="7" t="s">
        <v>2392</v>
      </c>
      <c r="E983" s="7" t="s">
        <v>577</v>
      </c>
      <c r="F983" s="14" t="s">
        <v>21</v>
      </c>
      <c r="G983" s="14" t="s">
        <v>25</v>
      </c>
      <c r="H983" s="12" t="s">
        <v>717</v>
      </c>
      <c r="I983" s="7" t="s">
        <v>2393</v>
      </c>
      <c r="K983" s="14" t="s">
        <v>578</v>
      </c>
      <c r="L983" s="7" t="s">
        <v>584</v>
      </c>
      <c r="M983" s="7" t="s">
        <v>1055</v>
      </c>
      <c r="N983" s="7" t="s">
        <v>581</v>
      </c>
    </row>
    <row r="984">
      <c r="A984" s="4">
        <v>46044.0</v>
      </c>
      <c r="B984" s="7" t="s">
        <v>2394</v>
      </c>
      <c r="C984" s="21">
        <f>+541162824050</f>
        <v>541162824050</v>
      </c>
      <c r="D984" s="7" t="s">
        <v>2395</v>
      </c>
      <c r="E984" s="14" t="s">
        <v>24</v>
      </c>
      <c r="F984" s="14" t="s">
        <v>21</v>
      </c>
      <c r="G984" s="14" t="s">
        <v>25</v>
      </c>
      <c r="H984" s="12" t="s">
        <v>740</v>
      </c>
      <c r="I984" s="7" t="s">
        <v>1005</v>
      </c>
      <c r="K984" s="14" t="s">
        <v>578</v>
      </c>
      <c r="L984" s="7" t="s">
        <v>584</v>
      </c>
      <c r="M984" s="7" t="s">
        <v>1055</v>
      </c>
      <c r="N984" s="7" t="s">
        <v>585</v>
      </c>
    </row>
    <row r="985">
      <c r="A985" s="4">
        <v>46044.0</v>
      </c>
      <c r="B985" s="7" t="s">
        <v>2396</v>
      </c>
      <c r="C985" s="21">
        <f>+2235246795</f>
        <v>2235246795</v>
      </c>
      <c r="D985" s="7" t="s">
        <v>2397</v>
      </c>
      <c r="E985" s="14" t="s">
        <v>24</v>
      </c>
      <c r="F985" s="14" t="s">
        <v>21</v>
      </c>
      <c r="G985" s="14" t="s">
        <v>25</v>
      </c>
      <c r="H985" s="12" t="s">
        <v>717</v>
      </c>
      <c r="I985" s="7" t="s">
        <v>818</v>
      </c>
      <c r="K985" s="14" t="s">
        <v>578</v>
      </c>
      <c r="L985" s="7" t="s">
        <v>584</v>
      </c>
      <c r="M985" s="7" t="s">
        <v>1055</v>
      </c>
      <c r="N985" s="7" t="s">
        <v>585</v>
      </c>
    </row>
    <row r="986">
      <c r="A986" s="4">
        <v>46044.0</v>
      </c>
      <c r="B986" s="7" t="s">
        <v>2398</v>
      </c>
      <c r="C986" s="21">
        <f>+541157562369</f>
        <v>541157562369</v>
      </c>
      <c r="D986" s="7" t="s">
        <v>2399</v>
      </c>
      <c r="E986" s="14" t="s">
        <v>16</v>
      </c>
      <c r="F986" s="14" t="s">
        <v>21</v>
      </c>
      <c r="G986" s="14" t="s">
        <v>25</v>
      </c>
      <c r="H986" s="12" t="s">
        <v>727</v>
      </c>
      <c r="I986" s="7" t="s">
        <v>2400</v>
      </c>
      <c r="K986" s="14" t="s">
        <v>578</v>
      </c>
      <c r="L986" s="7" t="s">
        <v>579</v>
      </c>
      <c r="M986" s="7" t="s">
        <v>580</v>
      </c>
      <c r="N986" s="7" t="s">
        <v>585</v>
      </c>
    </row>
    <row r="987">
      <c r="A987" s="4">
        <v>46044.0</v>
      </c>
      <c r="B987" s="7" t="s">
        <v>2401</v>
      </c>
      <c r="C987" s="21">
        <f>+541154612423</f>
        <v>541154612423</v>
      </c>
      <c r="D987" s="7" t="s">
        <v>2402</v>
      </c>
      <c r="E987" s="14" t="s">
        <v>16</v>
      </c>
      <c r="F987" s="14" t="s">
        <v>21</v>
      </c>
      <c r="G987" s="14" t="s">
        <v>18</v>
      </c>
      <c r="H987" s="12" t="s">
        <v>745</v>
      </c>
      <c r="I987" s="7" t="s">
        <v>2403</v>
      </c>
      <c r="K987" s="14" t="s">
        <v>578</v>
      </c>
      <c r="L987" s="7" t="s">
        <v>579</v>
      </c>
      <c r="M987" s="7" t="s">
        <v>580</v>
      </c>
      <c r="N987" s="7" t="s">
        <v>585</v>
      </c>
    </row>
    <row r="988">
      <c r="A988" s="27">
        <v>46045.0</v>
      </c>
      <c r="B988" s="7" t="s">
        <v>2404</v>
      </c>
      <c r="C988" s="21">
        <f>+5493794822238</f>
        <v>5493794822238</v>
      </c>
      <c r="D988" s="7" t="s">
        <v>2405</v>
      </c>
      <c r="E988" s="7" t="s">
        <v>577</v>
      </c>
      <c r="F988" s="14" t="s">
        <v>21</v>
      </c>
      <c r="G988" s="14" t="s">
        <v>25</v>
      </c>
      <c r="H988" s="12" t="s">
        <v>717</v>
      </c>
      <c r="I988" s="7" t="s">
        <v>2406</v>
      </c>
      <c r="K988" s="14" t="s">
        <v>578</v>
      </c>
      <c r="L988" s="7" t="s">
        <v>584</v>
      </c>
      <c r="M988" s="7" t="s">
        <v>580</v>
      </c>
      <c r="N988" s="7" t="s">
        <v>581</v>
      </c>
    </row>
    <row r="989">
      <c r="A989" s="27">
        <v>46045.0</v>
      </c>
      <c r="B989" s="7" t="s">
        <v>2407</v>
      </c>
      <c r="C989" s="21">
        <f>+541127319964</f>
        <v>541127319964</v>
      </c>
      <c r="D989" s="7" t="s">
        <v>2408</v>
      </c>
      <c r="E989" s="7" t="s">
        <v>577</v>
      </c>
      <c r="F989" s="14" t="s">
        <v>21</v>
      </c>
      <c r="G989" s="14" t="s">
        <v>25</v>
      </c>
      <c r="H989" s="12" t="s">
        <v>717</v>
      </c>
      <c r="I989" s="7" t="s">
        <v>2409</v>
      </c>
      <c r="K989" s="14" t="s">
        <v>578</v>
      </c>
      <c r="L989" s="7" t="s">
        <v>584</v>
      </c>
      <c r="M989" s="7" t="s">
        <v>580</v>
      </c>
      <c r="N989" s="7" t="s">
        <v>585</v>
      </c>
    </row>
    <row r="990">
      <c r="A990" s="27">
        <v>46045.0</v>
      </c>
      <c r="B990" s="7" t="s">
        <v>2410</v>
      </c>
      <c r="C990" s="21">
        <f>+543875812106</f>
        <v>543875812106</v>
      </c>
      <c r="D990" s="7" t="s">
        <v>2411</v>
      </c>
      <c r="E990" s="14" t="s">
        <v>24</v>
      </c>
      <c r="F990" s="14" t="s">
        <v>21</v>
      </c>
      <c r="G990" s="14" t="s">
        <v>25</v>
      </c>
      <c r="H990" s="12" t="s">
        <v>740</v>
      </c>
      <c r="I990" s="7" t="s">
        <v>2412</v>
      </c>
      <c r="K990" s="14" t="s">
        <v>578</v>
      </c>
      <c r="L990" s="7" t="s">
        <v>584</v>
      </c>
      <c r="M990" s="7" t="s">
        <v>1055</v>
      </c>
      <c r="N990" s="7" t="s">
        <v>585</v>
      </c>
    </row>
    <row r="991">
      <c r="A991" s="27">
        <v>46045.0</v>
      </c>
      <c r="B991" s="7" t="s">
        <v>2413</v>
      </c>
      <c r="C991" s="21">
        <f>+543874582929</f>
        <v>543874582929</v>
      </c>
      <c r="D991" s="7" t="s">
        <v>2414</v>
      </c>
      <c r="E991" s="7" t="s">
        <v>577</v>
      </c>
      <c r="F991" s="14" t="s">
        <v>21</v>
      </c>
      <c r="G991" s="14" t="s">
        <v>25</v>
      </c>
      <c r="H991" s="12" t="s">
        <v>745</v>
      </c>
      <c r="I991" s="7" t="s">
        <v>780</v>
      </c>
      <c r="K991" s="14" t="s">
        <v>578</v>
      </c>
      <c r="L991" s="7" t="s">
        <v>579</v>
      </c>
      <c r="M991" s="7" t="s">
        <v>580</v>
      </c>
      <c r="N991" s="7" t="s">
        <v>581</v>
      </c>
    </row>
    <row r="992">
      <c r="A992" s="27">
        <v>46045.0</v>
      </c>
      <c r="B992" s="7" t="s">
        <v>2415</v>
      </c>
      <c r="C992" s="21">
        <f>+542246587360</f>
        <v>542246587360</v>
      </c>
      <c r="D992" s="7" t="s">
        <v>2416</v>
      </c>
      <c r="E992" s="7" t="s">
        <v>577</v>
      </c>
      <c r="F992" s="14" t="s">
        <v>21</v>
      </c>
      <c r="G992" s="14" t="s">
        <v>25</v>
      </c>
      <c r="H992" s="12" t="s">
        <v>717</v>
      </c>
      <c r="I992" s="7" t="s">
        <v>920</v>
      </c>
      <c r="K992" s="14" t="s">
        <v>578</v>
      </c>
      <c r="L992" s="7" t="s">
        <v>579</v>
      </c>
      <c r="M992" s="7" t="s">
        <v>580</v>
      </c>
      <c r="N992" s="7" t="s">
        <v>585</v>
      </c>
    </row>
    <row r="993">
      <c r="A993" s="27">
        <v>46045.0</v>
      </c>
      <c r="B993" s="7" t="s">
        <v>2417</v>
      </c>
      <c r="C993" s="21">
        <f>+543814652672</f>
        <v>543814652672</v>
      </c>
      <c r="D993" s="7" t="s">
        <v>2418</v>
      </c>
      <c r="E993" s="14" t="s">
        <v>16</v>
      </c>
      <c r="F993" s="14" t="s">
        <v>21</v>
      </c>
      <c r="G993" s="14" t="s">
        <v>18</v>
      </c>
      <c r="H993" s="12" t="s">
        <v>740</v>
      </c>
      <c r="I993" s="7" t="s">
        <v>2419</v>
      </c>
      <c r="K993" s="14" t="s">
        <v>578</v>
      </c>
      <c r="L993" s="7" t="s">
        <v>579</v>
      </c>
      <c r="M993" s="7" t="s">
        <v>580</v>
      </c>
      <c r="N993" s="7" t="s">
        <v>585</v>
      </c>
    </row>
    <row r="994">
      <c r="A994" s="27">
        <v>46046.0</v>
      </c>
      <c r="B994" s="7" t="s">
        <v>2420</v>
      </c>
      <c r="C994" s="21">
        <f>+542234385877</f>
        <v>542234385877</v>
      </c>
      <c r="D994" s="7" t="s">
        <v>2421</v>
      </c>
      <c r="E994" s="14" t="s">
        <v>24</v>
      </c>
      <c r="F994" s="14" t="s">
        <v>21</v>
      </c>
      <c r="G994" s="14" t="s">
        <v>25</v>
      </c>
      <c r="H994" s="12" t="s">
        <v>717</v>
      </c>
      <c r="I994" s="7" t="s">
        <v>2422</v>
      </c>
      <c r="K994" s="14" t="s">
        <v>578</v>
      </c>
      <c r="L994" s="7" t="s">
        <v>584</v>
      </c>
      <c r="M994" s="7" t="s">
        <v>1055</v>
      </c>
      <c r="N994" s="7" t="s">
        <v>585</v>
      </c>
    </row>
    <row r="995">
      <c r="A995" s="27">
        <v>46046.0</v>
      </c>
      <c r="B995" s="7" t="s">
        <v>2423</v>
      </c>
      <c r="C995" s="21">
        <f>+542616450123</f>
        <v>542616450123</v>
      </c>
      <c r="D995" s="7" t="s">
        <v>2424</v>
      </c>
      <c r="E995" s="14" t="s">
        <v>24</v>
      </c>
      <c r="F995" s="14" t="s">
        <v>21</v>
      </c>
      <c r="G995" s="14" t="s">
        <v>18</v>
      </c>
      <c r="H995" s="12" t="s">
        <v>717</v>
      </c>
      <c r="I995" s="7" t="s">
        <v>818</v>
      </c>
      <c r="K995" s="14" t="s">
        <v>578</v>
      </c>
      <c r="L995" s="7" t="s">
        <v>579</v>
      </c>
      <c r="M995" s="7" t="s">
        <v>580</v>
      </c>
      <c r="N995" s="7" t="s">
        <v>581</v>
      </c>
    </row>
    <row r="996">
      <c r="A996" s="27">
        <v>46046.0</v>
      </c>
      <c r="B996" s="7" t="s">
        <v>2425</v>
      </c>
      <c r="C996" s="21">
        <f>+542966220296</f>
        <v>542966220296</v>
      </c>
      <c r="D996" s="7" t="s">
        <v>2426</v>
      </c>
      <c r="E996" s="14" t="s">
        <v>16</v>
      </c>
      <c r="F996" s="12" t="s">
        <v>17</v>
      </c>
      <c r="G996" s="14" t="s">
        <v>25</v>
      </c>
      <c r="H996" s="12" t="s">
        <v>740</v>
      </c>
      <c r="I996" s="7" t="s">
        <v>2427</v>
      </c>
      <c r="K996" s="14" t="s">
        <v>578</v>
      </c>
      <c r="L996" s="7" t="s">
        <v>579</v>
      </c>
      <c r="M996" s="7" t="s">
        <v>580</v>
      </c>
      <c r="N996" s="7" t="s">
        <v>585</v>
      </c>
    </row>
    <row r="997">
      <c r="A997" s="27">
        <v>46046.0</v>
      </c>
      <c r="B997" s="7" t="s">
        <v>2428</v>
      </c>
      <c r="C997" s="21">
        <f>+543537664070</f>
        <v>543537664070</v>
      </c>
      <c r="D997" s="7" t="s">
        <v>2429</v>
      </c>
      <c r="E997" s="14" t="s">
        <v>16</v>
      </c>
      <c r="F997" s="14" t="s">
        <v>21</v>
      </c>
      <c r="G997" s="14" t="s">
        <v>25</v>
      </c>
      <c r="H997" s="12" t="s">
        <v>717</v>
      </c>
      <c r="I997" s="7" t="s">
        <v>818</v>
      </c>
      <c r="K997" s="14" t="s">
        <v>578</v>
      </c>
      <c r="L997" s="7" t="s">
        <v>579</v>
      </c>
      <c r="M997" s="7" t="s">
        <v>580</v>
      </c>
      <c r="N997" s="7" t="s">
        <v>585</v>
      </c>
    </row>
    <row r="998">
      <c r="A998" s="27">
        <v>46046.0</v>
      </c>
      <c r="B998" s="7" t="s">
        <v>2430</v>
      </c>
      <c r="C998" s="21">
        <f>+542994028985</f>
        <v>542994028985</v>
      </c>
      <c r="D998" s="7" t="s">
        <v>2431</v>
      </c>
      <c r="E998" s="7" t="s">
        <v>577</v>
      </c>
      <c r="F998" s="14" t="s">
        <v>21</v>
      </c>
      <c r="G998" s="14" t="s">
        <v>18</v>
      </c>
      <c r="H998" s="12" t="s">
        <v>717</v>
      </c>
      <c r="I998" s="7" t="s">
        <v>2029</v>
      </c>
      <c r="K998" s="14" t="s">
        <v>578</v>
      </c>
      <c r="L998" s="7" t="s">
        <v>579</v>
      </c>
      <c r="M998" s="7" t="s">
        <v>580</v>
      </c>
      <c r="N998" s="7" t="s">
        <v>581</v>
      </c>
    </row>
    <row r="999">
      <c r="A999" s="27">
        <v>46046.0</v>
      </c>
      <c r="B999" s="7" t="s">
        <v>2432</v>
      </c>
      <c r="C999" s="21">
        <f>+542994712579</f>
        <v>542994712579</v>
      </c>
      <c r="D999" s="7" t="s">
        <v>2433</v>
      </c>
      <c r="E999" s="7" t="s">
        <v>577</v>
      </c>
      <c r="F999" s="14" t="s">
        <v>21</v>
      </c>
      <c r="G999" s="14" t="s">
        <v>18</v>
      </c>
      <c r="H999" s="12" t="s">
        <v>727</v>
      </c>
      <c r="I999" s="7" t="s">
        <v>885</v>
      </c>
      <c r="K999" s="14" t="s">
        <v>578</v>
      </c>
      <c r="L999" s="7" t="s">
        <v>579</v>
      </c>
      <c r="M999" s="7" t="s">
        <v>580</v>
      </c>
      <c r="N999" s="7" t="s">
        <v>581</v>
      </c>
    </row>
    <row r="1000">
      <c r="A1000" s="27">
        <v>46046.0</v>
      </c>
      <c r="B1000" s="7" t="s">
        <v>2434</v>
      </c>
      <c r="C1000" s="21">
        <f>+541166843397</f>
        <v>541166843397</v>
      </c>
      <c r="D1000" s="7" t="s">
        <v>2435</v>
      </c>
      <c r="E1000" s="14" t="s">
        <v>16</v>
      </c>
      <c r="F1000" s="14" t="s">
        <v>21</v>
      </c>
      <c r="G1000" s="14" t="s">
        <v>25</v>
      </c>
      <c r="H1000" s="12" t="s">
        <v>727</v>
      </c>
      <c r="I1000" s="7" t="s">
        <v>920</v>
      </c>
      <c r="K1000" s="14" t="s">
        <v>578</v>
      </c>
      <c r="L1000" s="7" t="s">
        <v>584</v>
      </c>
      <c r="M1000" s="7" t="s">
        <v>580</v>
      </c>
      <c r="N1000" s="7" t="s">
        <v>585</v>
      </c>
    </row>
    <row r="1001">
      <c r="A1001" s="27">
        <v>46046.0</v>
      </c>
      <c r="B1001" s="7" t="s">
        <v>2436</v>
      </c>
      <c r="C1001" s="21">
        <f>+541123962512</f>
        <v>541123962512</v>
      </c>
      <c r="D1001" s="7" t="s">
        <v>2437</v>
      </c>
      <c r="E1001" s="14" t="s">
        <v>24</v>
      </c>
      <c r="F1001" s="14" t="s">
        <v>21</v>
      </c>
      <c r="G1001" s="14" t="s">
        <v>25</v>
      </c>
      <c r="H1001" s="12" t="s">
        <v>717</v>
      </c>
      <c r="I1001" s="7" t="s">
        <v>1088</v>
      </c>
      <c r="K1001" s="14" t="s">
        <v>578</v>
      </c>
      <c r="L1001" s="7" t="s">
        <v>584</v>
      </c>
      <c r="M1001" s="7" t="s">
        <v>580</v>
      </c>
      <c r="N1001" s="7" t="s">
        <v>581</v>
      </c>
    </row>
    <row r="1002">
      <c r="A1002" s="27">
        <v>46046.0</v>
      </c>
      <c r="B1002" s="7" t="s">
        <v>2438</v>
      </c>
      <c r="C1002" s="21">
        <f>+541120286043</f>
        <v>541120286043</v>
      </c>
      <c r="D1002" s="7" t="s">
        <v>2439</v>
      </c>
      <c r="E1002" s="14" t="s">
        <v>24</v>
      </c>
      <c r="F1002" s="14" t="s">
        <v>21</v>
      </c>
      <c r="G1002" s="14" t="s">
        <v>18</v>
      </c>
      <c r="H1002" s="12" t="s">
        <v>717</v>
      </c>
      <c r="I1002" s="7" t="s">
        <v>718</v>
      </c>
      <c r="K1002" s="14" t="s">
        <v>578</v>
      </c>
      <c r="L1002" s="7" t="s">
        <v>584</v>
      </c>
      <c r="M1002" s="7" t="s">
        <v>580</v>
      </c>
      <c r="N1002" s="7" t="s">
        <v>585</v>
      </c>
    </row>
    <row r="1003">
      <c r="A1003" s="27">
        <v>46046.0</v>
      </c>
      <c r="B1003" s="7" t="s">
        <v>2440</v>
      </c>
      <c r="C1003" s="21">
        <f>+541153470762</f>
        <v>541153470762</v>
      </c>
      <c r="D1003" s="7" t="s">
        <v>2441</v>
      </c>
      <c r="E1003" s="14" t="s">
        <v>24</v>
      </c>
      <c r="F1003" s="14" t="s">
        <v>21</v>
      </c>
      <c r="G1003" s="14" t="s">
        <v>25</v>
      </c>
      <c r="H1003" s="12" t="s">
        <v>740</v>
      </c>
      <c r="I1003" s="7" t="s">
        <v>2442</v>
      </c>
      <c r="K1003" s="14" t="s">
        <v>578</v>
      </c>
      <c r="L1003" s="7" t="s">
        <v>584</v>
      </c>
      <c r="M1003" s="7" t="s">
        <v>580</v>
      </c>
      <c r="N1003" s="7" t="s">
        <v>581</v>
      </c>
    </row>
    <row r="1004">
      <c r="A1004" s="27">
        <v>46046.0</v>
      </c>
      <c r="B1004" s="7" t="s">
        <v>2443</v>
      </c>
      <c r="C1004" s="21">
        <f>+543816680963</f>
        <v>543816680963</v>
      </c>
      <c r="D1004" s="7" t="s">
        <v>2444</v>
      </c>
      <c r="E1004" s="7" t="s">
        <v>577</v>
      </c>
      <c r="F1004" s="14" t="s">
        <v>21</v>
      </c>
      <c r="G1004" s="14" t="s">
        <v>25</v>
      </c>
      <c r="H1004" s="12" t="s">
        <v>717</v>
      </c>
      <c r="I1004" s="7" t="s">
        <v>947</v>
      </c>
      <c r="K1004" s="14" t="s">
        <v>578</v>
      </c>
      <c r="L1004" s="7" t="s">
        <v>579</v>
      </c>
      <c r="M1004" s="7" t="s">
        <v>580</v>
      </c>
      <c r="N1004" s="7" t="s">
        <v>585</v>
      </c>
    </row>
    <row r="1005">
      <c r="A1005" s="27">
        <v>46047.0</v>
      </c>
      <c r="B1005" s="7" t="s">
        <v>2445</v>
      </c>
      <c r="C1005" s="21">
        <f>+5491130364304</f>
        <v>5491130364304</v>
      </c>
      <c r="D1005" s="7" t="s">
        <v>2446</v>
      </c>
      <c r="E1005" s="14" t="s">
        <v>24</v>
      </c>
      <c r="F1005" s="14" t="s">
        <v>32</v>
      </c>
      <c r="G1005" s="14" t="s">
        <v>25</v>
      </c>
      <c r="H1005" s="12" t="s">
        <v>727</v>
      </c>
      <c r="I1005" s="7" t="s">
        <v>2447</v>
      </c>
      <c r="K1005" s="14" t="s">
        <v>578</v>
      </c>
      <c r="L1005" s="7" t="s">
        <v>584</v>
      </c>
      <c r="M1005" s="7" t="s">
        <v>580</v>
      </c>
      <c r="N1005" s="7" t="s">
        <v>585</v>
      </c>
    </row>
    <row r="1006">
      <c r="A1006" s="27">
        <v>46047.0</v>
      </c>
      <c r="B1006" s="7" t="s">
        <v>2448</v>
      </c>
      <c r="C1006" s="21">
        <f>+543547570492</f>
        <v>543547570492</v>
      </c>
      <c r="D1006" s="7" t="s">
        <v>2449</v>
      </c>
      <c r="E1006" s="14" t="s">
        <v>16</v>
      </c>
      <c r="F1006" s="14" t="s">
        <v>32</v>
      </c>
      <c r="G1006" s="14" t="s">
        <v>25</v>
      </c>
      <c r="H1006" s="12" t="s">
        <v>745</v>
      </c>
      <c r="I1006" s="7" t="s">
        <v>762</v>
      </c>
      <c r="K1006" s="14" t="s">
        <v>578</v>
      </c>
      <c r="L1006" s="7" t="s">
        <v>579</v>
      </c>
      <c r="M1006" s="7" t="s">
        <v>1055</v>
      </c>
      <c r="N1006" s="7" t="s">
        <v>581</v>
      </c>
    </row>
    <row r="1007">
      <c r="A1007" s="27">
        <v>46047.0</v>
      </c>
      <c r="B1007" s="7" t="s">
        <v>2450</v>
      </c>
      <c r="C1007" s="21">
        <f>+541162682629</f>
        <v>541162682629</v>
      </c>
      <c r="D1007" s="7" t="s">
        <v>2451</v>
      </c>
      <c r="E1007" s="14" t="s">
        <v>24</v>
      </c>
      <c r="F1007" s="14" t="s">
        <v>21</v>
      </c>
      <c r="G1007" s="14" t="s">
        <v>18</v>
      </c>
      <c r="H1007" s="12" t="s">
        <v>727</v>
      </c>
      <c r="I1007" s="7" t="s">
        <v>2452</v>
      </c>
      <c r="K1007" s="14" t="s">
        <v>578</v>
      </c>
      <c r="L1007" s="7" t="s">
        <v>584</v>
      </c>
      <c r="M1007" s="7" t="s">
        <v>580</v>
      </c>
      <c r="N1007" s="7" t="s">
        <v>585</v>
      </c>
    </row>
    <row r="1008">
      <c r="A1008" s="27">
        <v>46047.0</v>
      </c>
      <c r="B1008" s="7" t="s">
        <v>2453</v>
      </c>
      <c r="C1008" s="21">
        <f>+542645219912</f>
        <v>542645219912</v>
      </c>
      <c r="D1008" s="7" t="s">
        <v>2454</v>
      </c>
      <c r="E1008" s="14" t="s">
        <v>24</v>
      </c>
      <c r="F1008" s="14" t="s">
        <v>21</v>
      </c>
      <c r="G1008" s="14" t="s">
        <v>25</v>
      </c>
      <c r="H1008" s="12" t="s">
        <v>717</v>
      </c>
      <c r="I1008" s="7" t="s">
        <v>2455</v>
      </c>
      <c r="K1008" s="14" t="s">
        <v>578</v>
      </c>
      <c r="L1008" s="7" t="s">
        <v>579</v>
      </c>
      <c r="M1008" s="7" t="s">
        <v>1055</v>
      </c>
      <c r="N1008" s="7" t="s">
        <v>585</v>
      </c>
    </row>
    <row r="1009">
      <c r="A1009" s="27">
        <v>46047.0</v>
      </c>
      <c r="B1009" s="7" t="s">
        <v>2456</v>
      </c>
      <c r="C1009" s="21">
        <f>+5493476624384</f>
        <v>5493476624384</v>
      </c>
      <c r="D1009" s="7" t="s">
        <v>2457</v>
      </c>
      <c r="E1009" s="14" t="s">
        <v>16</v>
      </c>
      <c r="F1009" s="14" t="s">
        <v>21</v>
      </c>
      <c r="G1009" s="14" t="s">
        <v>25</v>
      </c>
      <c r="H1009" s="12" t="s">
        <v>740</v>
      </c>
      <c r="I1009" s="7" t="s">
        <v>1546</v>
      </c>
      <c r="K1009" s="14" t="s">
        <v>578</v>
      </c>
      <c r="L1009" s="7" t="s">
        <v>579</v>
      </c>
      <c r="M1009" s="7" t="s">
        <v>580</v>
      </c>
      <c r="N1009" s="7" t="s">
        <v>581</v>
      </c>
    </row>
    <row r="1010">
      <c r="A1010" s="27">
        <v>46047.0</v>
      </c>
      <c r="B1010" s="7" t="s">
        <v>2458</v>
      </c>
      <c r="C1010" s="21">
        <f>+542235800395</f>
        <v>542235800395</v>
      </c>
      <c r="D1010" s="7" t="s">
        <v>2459</v>
      </c>
      <c r="E1010" s="14" t="s">
        <v>24</v>
      </c>
      <c r="F1010" s="12" t="s">
        <v>17</v>
      </c>
      <c r="G1010" s="14" t="s">
        <v>25</v>
      </c>
      <c r="H1010" s="12" t="s">
        <v>717</v>
      </c>
      <c r="I1010" s="7" t="s">
        <v>2460</v>
      </c>
      <c r="K1010" s="14" t="s">
        <v>578</v>
      </c>
      <c r="L1010" s="7" t="s">
        <v>579</v>
      </c>
      <c r="M1010" s="7" t="s">
        <v>1055</v>
      </c>
      <c r="N1010" s="7" t="s">
        <v>585</v>
      </c>
    </row>
    <row r="1011">
      <c r="A1011" s="27">
        <v>46047.0</v>
      </c>
      <c r="B1011" s="7" t="s">
        <v>2461</v>
      </c>
      <c r="C1011" s="21">
        <f>+541159046204</f>
        <v>541159046204</v>
      </c>
      <c r="D1011" s="7" t="s">
        <v>2462</v>
      </c>
      <c r="E1011" s="14" t="s">
        <v>24</v>
      </c>
      <c r="F1011" s="12" t="s">
        <v>17</v>
      </c>
      <c r="G1011" s="14" t="s">
        <v>25</v>
      </c>
      <c r="H1011" s="12" t="s">
        <v>717</v>
      </c>
      <c r="I1011" s="7" t="s">
        <v>756</v>
      </c>
      <c r="K1011" s="14" t="s">
        <v>578</v>
      </c>
      <c r="L1011" s="7" t="s">
        <v>584</v>
      </c>
      <c r="M1011" s="7" t="s">
        <v>580</v>
      </c>
      <c r="N1011" s="7" t="s">
        <v>581</v>
      </c>
    </row>
    <row r="1012">
      <c r="A1012" s="27">
        <v>46047.0</v>
      </c>
      <c r="B1012" s="7" t="s">
        <v>2463</v>
      </c>
      <c r="C1012" s="21">
        <f>+541168843300</f>
        <v>541168843300</v>
      </c>
      <c r="D1012" s="7" t="s">
        <v>2464</v>
      </c>
      <c r="E1012" s="14" t="s">
        <v>24</v>
      </c>
      <c r="F1012" s="12" t="s">
        <v>17</v>
      </c>
      <c r="G1012" s="14" t="s">
        <v>25</v>
      </c>
      <c r="H1012" s="12" t="s">
        <v>745</v>
      </c>
      <c r="I1012" s="7" t="s">
        <v>2465</v>
      </c>
      <c r="K1012" s="14" t="s">
        <v>578</v>
      </c>
      <c r="L1012" s="7" t="s">
        <v>584</v>
      </c>
      <c r="M1012" s="7" t="s">
        <v>580</v>
      </c>
      <c r="N1012" s="7" t="s">
        <v>581</v>
      </c>
    </row>
    <row r="1013">
      <c r="A1013" s="27">
        <v>46047.0</v>
      </c>
      <c r="B1013" s="7" t="s">
        <v>2466</v>
      </c>
      <c r="C1013" s="21">
        <f>+542215485323</f>
        <v>542215485323</v>
      </c>
      <c r="D1013" s="7" t="s">
        <v>2467</v>
      </c>
      <c r="E1013" s="7" t="s">
        <v>577</v>
      </c>
      <c r="F1013" s="14" t="s">
        <v>21</v>
      </c>
      <c r="G1013" s="14" t="s">
        <v>18</v>
      </c>
      <c r="H1013" s="12" t="s">
        <v>727</v>
      </c>
      <c r="I1013" s="7" t="s">
        <v>2468</v>
      </c>
      <c r="K1013" s="14" t="s">
        <v>578</v>
      </c>
      <c r="L1013" s="7" t="s">
        <v>584</v>
      </c>
      <c r="M1013" s="7" t="s">
        <v>1055</v>
      </c>
      <c r="N1013" s="7" t="s">
        <v>581</v>
      </c>
    </row>
    <row r="1014">
      <c r="A1014" s="27">
        <v>46048.0</v>
      </c>
      <c r="B1014" s="7" t="s">
        <v>2469</v>
      </c>
      <c r="C1014" s="21">
        <f>+5493813684</f>
        <v>5493813684</v>
      </c>
      <c r="D1014" s="7" t="s">
        <v>2470</v>
      </c>
      <c r="E1014" s="14" t="s">
        <v>16</v>
      </c>
      <c r="F1014" s="14" t="s">
        <v>21</v>
      </c>
      <c r="G1014" s="19" t="s">
        <v>1045</v>
      </c>
      <c r="H1014" s="12" t="s">
        <v>717</v>
      </c>
      <c r="I1014" s="7" t="s">
        <v>2471</v>
      </c>
      <c r="K1014" s="14" t="s">
        <v>578</v>
      </c>
      <c r="L1014" s="7" t="s">
        <v>579</v>
      </c>
      <c r="M1014" s="7" t="s">
        <v>610</v>
      </c>
      <c r="N1014" s="7" t="s">
        <v>585</v>
      </c>
    </row>
    <row r="1015">
      <c r="A1015" s="27">
        <v>46048.0</v>
      </c>
      <c r="B1015" s="7" t="s">
        <v>2472</v>
      </c>
      <c r="C1015" s="21">
        <f>+543534261685</f>
        <v>543534261685</v>
      </c>
      <c r="D1015" s="7" t="s">
        <v>2473</v>
      </c>
      <c r="E1015" s="14" t="s">
        <v>16</v>
      </c>
      <c r="F1015" s="12" t="s">
        <v>17</v>
      </c>
      <c r="G1015" s="14" t="s">
        <v>18</v>
      </c>
      <c r="H1015" s="12" t="s">
        <v>745</v>
      </c>
      <c r="I1015" s="7" t="s">
        <v>734</v>
      </c>
      <c r="K1015" s="14" t="s">
        <v>578</v>
      </c>
      <c r="L1015" s="7" t="s">
        <v>579</v>
      </c>
      <c r="M1015" s="7" t="s">
        <v>610</v>
      </c>
      <c r="N1015" s="7" t="s">
        <v>585</v>
      </c>
    </row>
    <row r="1016">
      <c r="A1016" s="27">
        <v>46048.0</v>
      </c>
      <c r="B1016" s="7" t="s">
        <v>2474</v>
      </c>
      <c r="C1016" s="21">
        <f>+543573458350</f>
        <v>543573458350</v>
      </c>
      <c r="D1016" s="7" t="s">
        <v>2475</v>
      </c>
      <c r="E1016" s="14" t="s">
        <v>16</v>
      </c>
      <c r="F1016" s="14" t="s">
        <v>21</v>
      </c>
      <c r="G1016" s="14" t="s">
        <v>18</v>
      </c>
      <c r="H1016" s="12" t="s">
        <v>727</v>
      </c>
      <c r="I1016" s="7" t="s">
        <v>2154</v>
      </c>
      <c r="K1016" s="14" t="s">
        <v>578</v>
      </c>
      <c r="L1016" s="7" t="s">
        <v>579</v>
      </c>
      <c r="M1016" s="7" t="s">
        <v>610</v>
      </c>
      <c r="N1016" s="7" t="s">
        <v>585</v>
      </c>
    </row>
    <row r="1017">
      <c r="A1017" s="27">
        <v>46048.0</v>
      </c>
      <c r="B1017" s="7" t="s">
        <v>2476</v>
      </c>
      <c r="C1017" s="21">
        <f>+543513181824</f>
        <v>543513181824</v>
      </c>
      <c r="D1017" s="7" t="s">
        <v>2477</v>
      </c>
      <c r="E1017" s="14" t="s">
        <v>24</v>
      </c>
      <c r="F1017" s="12" t="s">
        <v>17</v>
      </c>
      <c r="G1017" s="14" t="s">
        <v>25</v>
      </c>
      <c r="H1017" s="12" t="s">
        <v>740</v>
      </c>
      <c r="I1017" s="7" t="s">
        <v>2478</v>
      </c>
      <c r="K1017" s="14" t="s">
        <v>578</v>
      </c>
      <c r="L1017" s="7" t="s">
        <v>579</v>
      </c>
      <c r="M1017" s="7" t="s">
        <v>1055</v>
      </c>
      <c r="N1017" s="7" t="s">
        <v>585</v>
      </c>
    </row>
    <row r="1018">
      <c r="A1018" s="27">
        <v>46048.0</v>
      </c>
      <c r="B1018" s="7" t="s">
        <v>2479</v>
      </c>
      <c r="C1018" s="21">
        <f>+541162793744</f>
        <v>541162793744</v>
      </c>
      <c r="D1018" s="7" t="s">
        <v>2480</v>
      </c>
      <c r="E1018" s="7" t="s">
        <v>577</v>
      </c>
      <c r="F1018" s="14" t="s">
        <v>21</v>
      </c>
      <c r="G1018" s="14" t="s">
        <v>25</v>
      </c>
      <c r="H1018" s="12" t="s">
        <v>740</v>
      </c>
      <c r="I1018" s="7" t="s">
        <v>2481</v>
      </c>
      <c r="K1018" s="14" t="s">
        <v>578</v>
      </c>
      <c r="L1018" s="7" t="s">
        <v>584</v>
      </c>
      <c r="M1018" s="7" t="s">
        <v>580</v>
      </c>
      <c r="N1018" s="7" t="s">
        <v>581</v>
      </c>
    </row>
    <row r="1019">
      <c r="A1019" s="27">
        <v>46048.0</v>
      </c>
      <c r="B1019" s="7" t="s">
        <v>2482</v>
      </c>
      <c r="C1019" s="21">
        <f>+542976247305</f>
        <v>542976247305</v>
      </c>
      <c r="D1019" s="7" t="s">
        <v>2483</v>
      </c>
      <c r="E1019" s="14" t="s">
        <v>24</v>
      </c>
      <c r="F1019" s="14" t="s">
        <v>21</v>
      </c>
      <c r="G1019" s="28" t="s">
        <v>25</v>
      </c>
      <c r="H1019" s="12" t="s">
        <v>717</v>
      </c>
      <c r="I1019" s="7" t="s">
        <v>2484</v>
      </c>
      <c r="K1019" s="14" t="s">
        <v>578</v>
      </c>
      <c r="L1019" s="7" t="s">
        <v>579</v>
      </c>
      <c r="M1019" s="7" t="s">
        <v>1055</v>
      </c>
      <c r="N1019" s="7" t="s">
        <v>585</v>
      </c>
    </row>
    <row r="1020">
      <c r="A1020" s="27">
        <v>46048.0</v>
      </c>
      <c r="B1020" s="7" t="s">
        <v>2485</v>
      </c>
      <c r="C1020" s="21">
        <f>+542984676478</f>
        <v>542984676478</v>
      </c>
      <c r="D1020" s="7" t="s">
        <v>2486</v>
      </c>
      <c r="E1020" s="14" t="s">
        <v>24</v>
      </c>
      <c r="F1020" s="14" t="s">
        <v>21</v>
      </c>
      <c r="G1020" s="28" t="s">
        <v>25</v>
      </c>
      <c r="H1020" s="12" t="s">
        <v>717</v>
      </c>
      <c r="I1020" s="7" t="s">
        <v>2487</v>
      </c>
      <c r="K1020" s="14" t="s">
        <v>578</v>
      </c>
      <c r="L1020" s="7" t="s">
        <v>579</v>
      </c>
      <c r="M1020" s="7" t="s">
        <v>1055</v>
      </c>
      <c r="N1020" s="7" t="s">
        <v>585</v>
      </c>
    </row>
    <row r="1021">
      <c r="A1021" s="27">
        <v>46048.0</v>
      </c>
      <c r="B1021" s="7" t="s">
        <v>2488</v>
      </c>
      <c r="C1021" s="21">
        <f>+541138791207</f>
        <v>541138791207</v>
      </c>
      <c r="D1021" s="7" t="s">
        <v>2489</v>
      </c>
      <c r="E1021" s="7" t="s">
        <v>577</v>
      </c>
      <c r="F1021" s="14" t="s">
        <v>21</v>
      </c>
      <c r="G1021" s="28" t="s">
        <v>25</v>
      </c>
      <c r="H1021" s="12" t="s">
        <v>717</v>
      </c>
      <c r="I1021" s="7" t="s">
        <v>2490</v>
      </c>
      <c r="K1021" s="14" t="s">
        <v>578</v>
      </c>
      <c r="L1021" s="7" t="s">
        <v>584</v>
      </c>
      <c r="M1021" s="7" t="s">
        <v>580</v>
      </c>
      <c r="N1021" s="7" t="s">
        <v>581</v>
      </c>
    </row>
    <row r="1022">
      <c r="A1022" s="27">
        <v>46049.0</v>
      </c>
      <c r="B1022" s="7" t="s">
        <v>2491</v>
      </c>
      <c r="C1022" s="21">
        <f>+542644116077</f>
        <v>542644116077</v>
      </c>
      <c r="D1022" s="7" t="s">
        <v>2492</v>
      </c>
      <c r="E1022" s="14" t="s">
        <v>16</v>
      </c>
      <c r="F1022" s="7" t="s">
        <v>744</v>
      </c>
      <c r="G1022" s="28" t="s">
        <v>25</v>
      </c>
      <c r="H1022" s="12" t="s">
        <v>727</v>
      </c>
      <c r="I1022" s="7" t="s">
        <v>992</v>
      </c>
      <c r="K1022" s="14" t="s">
        <v>578</v>
      </c>
      <c r="L1022" s="7" t="s">
        <v>579</v>
      </c>
      <c r="M1022" s="7" t="s">
        <v>1055</v>
      </c>
      <c r="N1022" s="7" t="s">
        <v>585</v>
      </c>
    </row>
    <row r="1023">
      <c r="A1023" s="27">
        <v>46049.0</v>
      </c>
      <c r="B1023" s="7" t="s">
        <v>2493</v>
      </c>
      <c r="C1023" s="21">
        <f>+543465663827</f>
        <v>543465663827</v>
      </c>
      <c r="D1023" s="7" t="s">
        <v>2494</v>
      </c>
      <c r="E1023" s="7" t="s">
        <v>577</v>
      </c>
      <c r="F1023" s="14" t="s">
        <v>21</v>
      </c>
      <c r="G1023" s="28" t="s">
        <v>25</v>
      </c>
      <c r="H1023" s="12" t="s">
        <v>717</v>
      </c>
      <c r="I1023" s="7" t="s">
        <v>2495</v>
      </c>
      <c r="K1023" s="14" t="s">
        <v>578</v>
      </c>
      <c r="L1023" s="7" t="s">
        <v>579</v>
      </c>
      <c r="M1023" s="7" t="s">
        <v>1055</v>
      </c>
      <c r="N1023" s="7" t="s">
        <v>585</v>
      </c>
    </row>
    <row r="1024">
      <c r="A1024" s="27">
        <v>46049.0</v>
      </c>
      <c r="B1024" s="29" t="s">
        <v>2496</v>
      </c>
      <c r="C1024" s="21">
        <f>+541169138294</f>
        <v>541169138294</v>
      </c>
      <c r="D1024" s="7" t="s">
        <v>2497</v>
      </c>
      <c r="E1024" s="14" t="s">
        <v>24</v>
      </c>
      <c r="F1024" s="14" t="s">
        <v>21</v>
      </c>
      <c r="G1024" s="14" t="s">
        <v>18</v>
      </c>
      <c r="H1024" s="12" t="s">
        <v>740</v>
      </c>
      <c r="I1024" s="7" t="s">
        <v>780</v>
      </c>
      <c r="K1024" s="14" t="s">
        <v>578</v>
      </c>
      <c r="L1024" s="7" t="s">
        <v>584</v>
      </c>
      <c r="M1024" s="7" t="s">
        <v>580</v>
      </c>
      <c r="N1024" s="7" t="s">
        <v>585</v>
      </c>
    </row>
    <row r="1025">
      <c r="A1025" s="27">
        <v>46049.0</v>
      </c>
      <c r="B1025" s="7" t="s">
        <v>2498</v>
      </c>
      <c r="C1025" s="21">
        <f>+541138640830</f>
        <v>541138640830</v>
      </c>
      <c r="D1025" s="7" t="s">
        <v>2499</v>
      </c>
      <c r="E1025" s="7" t="s">
        <v>577</v>
      </c>
      <c r="F1025" s="14" t="s">
        <v>21</v>
      </c>
      <c r="G1025" s="28" t="s">
        <v>25</v>
      </c>
      <c r="H1025" s="12" t="s">
        <v>717</v>
      </c>
      <c r="I1025" s="7" t="s">
        <v>718</v>
      </c>
      <c r="K1025" s="14" t="s">
        <v>578</v>
      </c>
      <c r="L1025" s="7" t="s">
        <v>584</v>
      </c>
      <c r="M1025" s="7" t="s">
        <v>580</v>
      </c>
      <c r="N1025" s="7" t="s">
        <v>585</v>
      </c>
    </row>
    <row r="1026">
      <c r="A1026" s="27">
        <v>46049.0</v>
      </c>
      <c r="B1026" s="7" t="s">
        <v>2500</v>
      </c>
      <c r="C1026" s="21">
        <f>+542304217956</f>
        <v>542304217956</v>
      </c>
      <c r="D1026" s="7" t="s">
        <v>2501</v>
      </c>
      <c r="E1026" s="14" t="s">
        <v>16</v>
      </c>
      <c r="F1026" s="14" t="s">
        <v>21</v>
      </c>
      <c r="G1026" s="28" t="s">
        <v>25</v>
      </c>
      <c r="H1026" s="12" t="s">
        <v>727</v>
      </c>
      <c r="I1026" s="7" t="s">
        <v>1474</v>
      </c>
      <c r="K1026" s="14" t="s">
        <v>578</v>
      </c>
      <c r="L1026" s="7" t="s">
        <v>584</v>
      </c>
      <c r="M1026" s="7" t="s">
        <v>624</v>
      </c>
      <c r="N1026" s="7" t="s">
        <v>581</v>
      </c>
    </row>
    <row r="1027">
      <c r="A1027" s="27">
        <v>46049.0</v>
      </c>
      <c r="B1027" s="7" t="s">
        <v>2502</v>
      </c>
      <c r="C1027" s="23" t="s">
        <v>2503</v>
      </c>
      <c r="D1027" s="7" t="s">
        <v>2504</v>
      </c>
      <c r="E1027" s="14" t="s">
        <v>24</v>
      </c>
      <c r="F1027" s="12" t="s">
        <v>17</v>
      </c>
      <c r="G1027" s="28" t="s">
        <v>25</v>
      </c>
      <c r="H1027" s="12" t="s">
        <v>740</v>
      </c>
      <c r="I1027" s="7" t="s">
        <v>1289</v>
      </c>
      <c r="K1027" s="14" t="s">
        <v>578</v>
      </c>
      <c r="L1027" s="7" t="s">
        <v>579</v>
      </c>
      <c r="M1027" s="7" t="s">
        <v>610</v>
      </c>
      <c r="N1027" s="7" t="s">
        <v>585</v>
      </c>
    </row>
    <row r="1028">
      <c r="A1028" s="27">
        <v>46049.0</v>
      </c>
      <c r="B1028" s="7" t="s">
        <v>2505</v>
      </c>
      <c r="C1028" s="21">
        <f>+5493492659294</f>
        <v>5493492659294</v>
      </c>
      <c r="D1028" s="7" t="s">
        <v>2506</v>
      </c>
      <c r="E1028" s="14" t="s">
        <v>24</v>
      </c>
      <c r="F1028" s="14" t="s">
        <v>21</v>
      </c>
      <c r="G1028" s="28" t="s">
        <v>25</v>
      </c>
      <c r="H1028" s="12" t="s">
        <v>717</v>
      </c>
      <c r="I1028" s="7" t="s">
        <v>2507</v>
      </c>
      <c r="K1028" s="14" t="s">
        <v>578</v>
      </c>
      <c r="L1028" s="7" t="s">
        <v>579</v>
      </c>
      <c r="M1028" s="7" t="s">
        <v>610</v>
      </c>
      <c r="N1028" s="7" t="s">
        <v>585</v>
      </c>
    </row>
    <row r="1029">
      <c r="A1029" s="27">
        <v>46049.0</v>
      </c>
      <c r="B1029" s="7" t="s">
        <v>2508</v>
      </c>
      <c r="C1029" s="21">
        <f>+543718413226</f>
        <v>543718413226</v>
      </c>
      <c r="D1029" s="7" t="s">
        <v>2509</v>
      </c>
      <c r="E1029" s="14" t="s">
        <v>16</v>
      </c>
      <c r="F1029" s="14" t="s">
        <v>21</v>
      </c>
      <c r="G1029" s="28" t="s">
        <v>25</v>
      </c>
      <c r="H1029" s="12" t="s">
        <v>740</v>
      </c>
      <c r="I1029" s="7" t="s">
        <v>2510</v>
      </c>
      <c r="K1029" s="14" t="s">
        <v>578</v>
      </c>
      <c r="L1029" s="7" t="s">
        <v>579</v>
      </c>
      <c r="M1029" s="7" t="s">
        <v>610</v>
      </c>
      <c r="N1029" s="7" t="s">
        <v>585</v>
      </c>
    </row>
    <row r="1030">
      <c r="A1030" s="27">
        <v>46050.0</v>
      </c>
      <c r="B1030" s="7" t="s">
        <v>2511</v>
      </c>
      <c r="C1030" s="21">
        <f>+543544404640</f>
        <v>543544404640</v>
      </c>
      <c r="D1030" s="7" t="s">
        <v>2512</v>
      </c>
      <c r="E1030" s="14" t="s">
        <v>24</v>
      </c>
      <c r="F1030" s="14" t="s">
        <v>21</v>
      </c>
      <c r="G1030" s="28" t="s">
        <v>25</v>
      </c>
      <c r="H1030" s="12" t="s">
        <v>717</v>
      </c>
      <c r="I1030" s="7" t="s">
        <v>2513</v>
      </c>
      <c r="K1030" s="14" t="s">
        <v>578</v>
      </c>
      <c r="L1030" s="7" t="s">
        <v>579</v>
      </c>
      <c r="M1030" s="7" t="s">
        <v>1055</v>
      </c>
      <c r="N1030" s="7" t="s">
        <v>581</v>
      </c>
    </row>
    <row r="1031">
      <c r="A1031" s="27">
        <v>46050.0</v>
      </c>
      <c r="B1031" s="7" t="s">
        <v>2514</v>
      </c>
      <c r="C1031" s="21">
        <f>+5492966310695</f>
        <v>5492966310695</v>
      </c>
      <c r="D1031" s="7" t="s">
        <v>2515</v>
      </c>
      <c r="E1031" s="14" t="s">
        <v>24</v>
      </c>
      <c r="F1031" s="14" t="s">
        <v>21</v>
      </c>
      <c r="G1031" s="28" t="s">
        <v>25</v>
      </c>
      <c r="H1031" s="12" t="s">
        <v>717</v>
      </c>
      <c r="I1031" s="7" t="s">
        <v>2516</v>
      </c>
      <c r="K1031" s="14" t="s">
        <v>578</v>
      </c>
      <c r="L1031" s="7" t="s">
        <v>579</v>
      </c>
      <c r="M1031" s="7" t="s">
        <v>1055</v>
      </c>
      <c r="N1031" s="7" t="s">
        <v>585</v>
      </c>
    </row>
    <row r="1032">
      <c r="A1032" s="27">
        <v>46050.0</v>
      </c>
      <c r="B1032" s="7" t="s">
        <v>2517</v>
      </c>
      <c r="C1032" s="21">
        <f>+541134349039</f>
        <v>541134349039</v>
      </c>
      <c r="D1032" s="7" t="s">
        <v>2518</v>
      </c>
      <c r="E1032" s="14" t="s">
        <v>24</v>
      </c>
      <c r="F1032" s="14" t="s">
        <v>21</v>
      </c>
      <c r="G1032" s="14" t="s">
        <v>18</v>
      </c>
      <c r="H1032" s="12" t="s">
        <v>717</v>
      </c>
      <c r="I1032" s="7" t="s">
        <v>992</v>
      </c>
      <c r="K1032" s="14" t="s">
        <v>578</v>
      </c>
      <c r="L1032" s="7" t="s">
        <v>584</v>
      </c>
      <c r="M1032" s="7" t="s">
        <v>1055</v>
      </c>
      <c r="N1032" s="7" t="s">
        <v>585</v>
      </c>
    </row>
    <row r="1033">
      <c r="A1033" s="27">
        <v>46050.0</v>
      </c>
      <c r="B1033" s="7" t="s">
        <v>2519</v>
      </c>
      <c r="C1033" s="21">
        <f>+542266474549</f>
        <v>542266474549</v>
      </c>
      <c r="D1033" s="7" t="s">
        <v>2520</v>
      </c>
      <c r="E1033" s="14" t="s">
        <v>24</v>
      </c>
      <c r="F1033" s="14" t="s">
        <v>21</v>
      </c>
      <c r="G1033" s="28" t="s">
        <v>25</v>
      </c>
      <c r="H1033" s="12" t="s">
        <v>717</v>
      </c>
      <c r="I1033" s="7" t="s">
        <v>2521</v>
      </c>
      <c r="K1033" s="14" t="s">
        <v>578</v>
      </c>
      <c r="L1033" s="7" t="s">
        <v>579</v>
      </c>
      <c r="M1033" s="7" t="s">
        <v>1055</v>
      </c>
      <c r="N1033" s="7" t="s">
        <v>581</v>
      </c>
    </row>
    <row r="1034">
      <c r="A1034" s="27">
        <v>46050.0</v>
      </c>
      <c r="B1034" s="7" t="s">
        <v>2522</v>
      </c>
      <c r="C1034" s="21">
        <f>+542644436924</f>
        <v>542644436924</v>
      </c>
      <c r="D1034" s="7" t="s">
        <v>2523</v>
      </c>
      <c r="E1034" s="7" t="s">
        <v>577</v>
      </c>
      <c r="F1034" s="14" t="s">
        <v>21</v>
      </c>
      <c r="G1034" s="28" t="s">
        <v>25</v>
      </c>
      <c r="H1034" s="12" t="s">
        <v>717</v>
      </c>
      <c r="I1034" s="7" t="s">
        <v>2524</v>
      </c>
      <c r="K1034" s="14" t="s">
        <v>578</v>
      </c>
      <c r="L1034" s="7" t="s">
        <v>579</v>
      </c>
      <c r="M1034" s="7" t="s">
        <v>1055</v>
      </c>
      <c r="N1034" s="7" t="s">
        <v>581</v>
      </c>
    </row>
    <row r="1035">
      <c r="A1035" s="27">
        <v>46050.0</v>
      </c>
      <c r="B1035" s="7" t="s">
        <v>2525</v>
      </c>
      <c r="C1035" s="21">
        <f>+542914488103</f>
        <v>542914488103</v>
      </c>
      <c r="D1035" s="7" t="s">
        <v>2526</v>
      </c>
      <c r="E1035" s="14" t="s">
        <v>24</v>
      </c>
      <c r="F1035" s="14" t="s">
        <v>21</v>
      </c>
      <c r="G1035" s="28" t="s">
        <v>25</v>
      </c>
      <c r="H1035" s="12" t="s">
        <v>717</v>
      </c>
      <c r="I1035" s="7" t="s">
        <v>2527</v>
      </c>
      <c r="K1035" s="14" t="s">
        <v>578</v>
      </c>
      <c r="L1035" s="7" t="s">
        <v>579</v>
      </c>
      <c r="M1035" s="7" t="s">
        <v>1055</v>
      </c>
      <c r="N1035" s="7" t="s">
        <v>585</v>
      </c>
    </row>
    <row r="1036">
      <c r="A1036" s="27">
        <v>46050.0</v>
      </c>
      <c r="B1036" s="7" t="s">
        <v>2528</v>
      </c>
      <c r="C1036" s="21">
        <f>+541133932520</f>
        <v>541133932520</v>
      </c>
      <c r="D1036" s="7" t="s">
        <v>2529</v>
      </c>
      <c r="E1036" s="7" t="s">
        <v>577</v>
      </c>
      <c r="F1036" s="14" t="s">
        <v>21</v>
      </c>
      <c r="G1036" s="28" t="s">
        <v>25</v>
      </c>
      <c r="H1036" s="12" t="s">
        <v>717</v>
      </c>
      <c r="I1036" s="7" t="s">
        <v>2212</v>
      </c>
      <c r="K1036" s="14" t="s">
        <v>578</v>
      </c>
      <c r="L1036" s="7" t="s">
        <v>584</v>
      </c>
      <c r="M1036" s="7" t="s">
        <v>1055</v>
      </c>
      <c r="N1036" s="7" t="s">
        <v>581</v>
      </c>
    </row>
    <row r="1037">
      <c r="A1037" s="27">
        <v>46050.0</v>
      </c>
      <c r="B1037" s="7" t="s">
        <v>2530</v>
      </c>
      <c r="C1037" s="21">
        <f>+541137701339</f>
        <v>541137701339</v>
      </c>
      <c r="D1037" s="7" t="s">
        <v>2531</v>
      </c>
      <c r="E1037" s="14" t="s">
        <v>24</v>
      </c>
      <c r="F1037" s="12" t="s">
        <v>17</v>
      </c>
      <c r="G1037" s="28" t="s">
        <v>25</v>
      </c>
      <c r="H1037" s="12" t="s">
        <v>740</v>
      </c>
      <c r="I1037" s="7" t="s">
        <v>947</v>
      </c>
      <c r="K1037" s="14" t="s">
        <v>578</v>
      </c>
      <c r="L1037" s="7" t="s">
        <v>584</v>
      </c>
      <c r="M1037" s="7" t="s">
        <v>1055</v>
      </c>
      <c r="N1037" s="7" t="s">
        <v>585</v>
      </c>
    </row>
    <row r="1038">
      <c r="A1038" s="27">
        <v>46050.0</v>
      </c>
      <c r="B1038" s="7" t="s">
        <v>2532</v>
      </c>
      <c r="C1038" s="21">
        <f>+541161270930</f>
        <v>541161270930</v>
      </c>
      <c r="D1038" s="7" t="s">
        <v>2533</v>
      </c>
      <c r="E1038" s="7" t="s">
        <v>577</v>
      </c>
      <c r="F1038" s="14" t="s">
        <v>21</v>
      </c>
      <c r="G1038" s="28" t="s">
        <v>25</v>
      </c>
      <c r="H1038" s="12" t="s">
        <v>717</v>
      </c>
      <c r="I1038" s="7" t="s">
        <v>728</v>
      </c>
      <c r="K1038" s="14" t="s">
        <v>578</v>
      </c>
      <c r="L1038" s="7" t="s">
        <v>584</v>
      </c>
      <c r="M1038" s="7" t="s">
        <v>1055</v>
      </c>
      <c r="N1038" s="7" t="s">
        <v>585</v>
      </c>
    </row>
    <row r="1039">
      <c r="A1039" s="27">
        <v>46050.0</v>
      </c>
      <c r="B1039" s="7" t="s">
        <v>2534</v>
      </c>
      <c r="C1039" s="21">
        <f>+542920478141</f>
        <v>542920478141</v>
      </c>
      <c r="D1039" s="7" t="s">
        <v>2535</v>
      </c>
      <c r="E1039" s="7" t="s">
        <v>577</v>
      </c>
      <c r="F1039" s="14" t="s">
        <v>21</v>
      </c>
      <c r="G1039" s="28" t="s">
        <v>25</v>
      </c>
      <c r="H1039" s="12" t="s">
        <v>717</v>
      </c>
      <c r="I1039" s="7" t="s">
        <v>2536</v>
      </c>
      <c r="K1039" s="14" t="s">
        <v>578</v>
      </c>
      <c r="L1039" s="7" t="s">
        <v>579</v>
      </c>
      <c r="M1039" s="7" t="s">
        <v>1055</v>
      </c>
      <c r="N1039" s="7" t="s">
        <v>585</v>
      </c>
    </row>
    <row r="1040">
      <c r="A1040" s="27">
        <v>46050.0</v>
      </c>
      <c r="B1040" s="7" t="s">
        <v>2537</v>
      </c>
      <c r="C1040" s="23">
        <v>3.413874714E9</v>
      </c>
      <c r="D1040" s="7" t="s">
        <v>2538</v>
      </c>
      <c r="E1040" s="14" t="s">
        <v>16</v>
      </c>
      <c r="F1040" s="14" t="s">
        <v>21</v>
      </c>
      <c r="G1040" s="14" t="s">
        <v>18</v>
      </c>
      <c r="H1040" s="12" t="s">
        <v>717</v>
      </c>
      <c r="I1040" s="7" t="s">
        <v>2539</v>
      </c>
      <c r="K1040" s="14" t="s">
        <v>578</v>
      </c>
      <c r="L1040" s="7" t="s">
        <v>579</v>
      </c>
      <c r="M1040" s="7" t="s">
        <v>1055</v>
      </c>
      <c r="N1040" s="7" t="s">
        <v>585</v>
      </c>
    </row>
    <row r="1041">
      <c r="A1041" s="27">
        <v>46050.0</v>
      </c>
      <c r="B1041" s="7" t="s">
        <v>2540</v>
      </c>
      <c r="C1041" s="21">
        <f>+542612431089</f>
        <v>542612431089</v>
      </c>
      <c r="D1041" s="7" t="s">
        <v>2541</v>
      </c>
      <c r="E1041" s="14" t="s">
        <v>16</v>
      </c>
      <c r="F1041" s="14" t="s">
        <v>21</v>
      </c>
      <c r="G1041" s="28" t="s">
        <v>25</v>
      </c>
      <c r="H1041" s="12" t="s">
        <v>727</v>
      </c>
      <c r="I1041" s="7" t="s">
        <v>2542</v>
      </c>
      <c r="K1041" s="14" t="s">
        <v>578</v>
      </c>
      <c r="L1041" s="7" t="s">
        <v>579</v>
      </c>
      <c r="M1041" s="7" t="s">
        <v>1055</v>
      </c>
      <c r="N1041" s="7" t="s">
        <v>585</v>
      </c>
    </row>
    <row r="1042">
      <c r="A1042" s="27">
        <v>46050.0</v>
      </c>
      <c r="B1042" s="7" t="s">
        <v>2543</v>
      </c>
      <c r="C1042" s="21">
        <f>+543815288081</f>
        <v>543815288081</v>
      </c>
      <c r="D1042" s="7" t="s">
        <v>2544</v>
      </c>
      <c r="E1042" s="14" t="s">
        <v>24</v>
      </c>
      <c r="F1042" s="14" t="s">
        <v>21</v>
      </c>
      <c r="G1042" s="28" t="s">
        <v>25</v>
      </c>
      <c r="H1042" s="12" t="s">
        <v>717</v>
      </c>
      <c r="I1042" s="7" t="s">
        <v>718</v>
      </c>
      <c r="K1042" s="14" t="s">
        <v>578</v>
      </c>
      <c r="L1042" s="7" t="s">
        <v>579</v>
      </c>
      <c r="M1042" s="7" t="s">
        <v>1055</v>
      </c>
      <c r="N1042" s="7" t="s">
        <v>585</v>
      </c>
    </row>
    <row r="1043">
      <c r="A1043" s="27">
        <v>46050.0</v>
      </c>
      <c r="B1043" s="7" t="s">
        <v>2545</v>
      </c>
      <c r="C1043" s="21">
        <f>+5493385436631</f>
        <v>5493385436631</v>
      </c>
      <c r="D1043" s="7" t="s">
        <v>2546</v>
      </c>
      <c r="E1043" s="14" t="s">
        <v>24</v>
      </c>
      <c r="F1043" s="12" t="s">
        <v>17</v>
      </c>
      <c r="G1043" s="28" t="s">
        <v>25</v>
      </c>
      <c r="H1043" s="12" t="s">
        <v>717</v>
      </c>
      <c r="I1043" s="7" t="s">
        <v>756</v>
      </c>
      <c r="K1043" s="14" t="s">
        <v>578</v>
      </c>
      <c r="L1043" s="7" t="s">
        <v>579</v>
      </c>
      <c r="M1043" s="7" t="s">
        <v>610</v>
      </c>
      <c r="N1043" s="7" t="s">
        <v>581</v>
      </c>
    </row>
    <row r="1044">
      <c r="A1044" s="27">
        <v>46051.0</v>
      </c>
      <c r="B1044" s="7" t="s">
        <v>2547</v>
      </c>
      <c r="C1044" s="21">
        <f>+541128670212</f>
        <v>541128670212</v>
      </c>
      <c r="D1044" s="7" t="s">
        <v>2548</v>
      </c>
      <c r="E1044" s="7" t="s">
        <v>577</v>
      </c>
      <c r="F1044" s="12" t="s">
        <v>17</v>
      </c>
      <c r="G1044" s="19" t="s">
        <v>1045</v>
      </c>
      <c r="H1044" s="12" t="s">
        <v>740</v>
      </c>
      <c r="I1044" s="7" t="s">
        <v>1206</v>
      </c>
      <c r="K1044" s="14" t="s">
        <v>578</v>
      </c>
      <c r="L1044" s="7" t="s">
        <v>584</v>
      </c>
      <c r="M1044" s="7" t="s">
        <v>1055</v>
      </c>
      <c r="N1044" s="7" t="s">
        <v>581</v>
      </c>
    </row>
    <row r="1045">
      <c r="A1045" s="27">
        <v>46051.0</v>
      </c>
      <c r="B1045" s="7" t="s">
        <v>2549</v>
      </c>
      <c r="C1045" s="21">
        <f>+541164454978</f>
        <v>541164454978</v>
      </c>
      <c r="D1045" s="7" t="s">
        <v>2550</v>
      </c>
      <c r="E1045" s="14" t="s">
        <v>24</v>
      </c>
      <c r="F1045" s="14" t="s">
        <v>21</v>
      </c>
      <c r="G1045" s="28" t="s">
        <v>25</v>
      </c>
      <c r="H1045" s="12" t="s">
        <v>717</v>
      </c>
      <c r="I1045" s="7" t="s">
        <v>2551</v>
      </c>
      <c r="K1045" s="14" t="s">
        <v>578</v>
      </c>
      <c r="L1045" s="7" t="s">
        <v>584</v>
      </c>
      <c r="M1045" s="7" t="s">
        <v>1055</v>
      </c>
      <c r="N1045" s="7" t="s">
        <v>585</v>
      </c>
    </row>
    <row r="1046">
      <c r="A1046" s="27">
        <v>46051.0</v>
      </c>
      <c r="B1046" s="7" t="s">
        <v>2552</v>
      </c>
      <c r="C1046" s="21">
        <f>+542612745158</f>
        <v>542612745158</v>
      </c>
      <c r="D1046" s="7" t="s">
        <v>2553</v>
      </c>
      <c r="E1046" s="14" t="s">
        <v>24</v>
      </c>
      <c r="F1046" s="14" t="s">
        <v>21</v>
      </c>
      <c r="G1046" s="28" t="s">
        <v>25</v>
      </c>
      <c r="H1046" s="12" t="s">
        <v>740</v>
      </c>
      <c r="I1046" s="7" t="s">
        <v>2554</v>
      </c>
      <c r="K1046" s="14" t="s">
        <v>578</v>
      </c>
      <c r="L1046" s="7" t="s">
        <v>579</v>
      </c>
      <c r="M1046" s="7" t="s">
        <v>1055</v>
      </c>
      <c r="N1046" s="7" t="s">
        <v>581</v>
      </c>
    </row>
    <row r="1047">
      <c r="A1047" s="27">
        <v>46051.0</v>
      </c>
      <c r="B1047" s="7" t="s">
        <v>2555</v>
      </c>
      <c r="C1047" s="21">
        <f>+542665115625</f>
        <v>542665115625</v>
      </c>
      <c r="D1047" s="7" t="s">
        <v>2556</v>
      </c>
      <c r="E1047" s="14" t="s">
        <v>16</v>
      </c>
      <c r="F1047" s="12" t="s">
        <v>17</v>
      </c>
      <c r="G1047" s="28" t="s">
        <v>25</v>
      </c>
      <c r="H1047" s="12" t="s">
        <v>745</v>
      </c>
      <c r="I1047" s="7" t="s">
        <v>2557</v>
      </c>
      <c r="K1047" s="14" t="s">
        <v>578</v>
      </c>
      <c r="L1047" s="7" t="s">
        <v>579</v>
      </c>
      <c r="M1047" s="7" t="s">
        <v>1055</v>
      </c>
      <c r="N1047" s="7" t="s">
        <v>581</v>
      </c>
    </row>
    <row r="1048">
      <c r="A1048" s="27">
        <v>46051.0</v>
      </c>
      <c r="B1048" s="7" t="s">
        <v>2558</v>
      </c>
      <c r="C1048" s="21">
        <f>+542281316953</f>
        <v>542281316953</v>
      </c>
      <c r="D1048" s="7" t="s">
        <v>2559</v>
      </c>
      <c r="E1048" s="14" t="s">
        <v>16</v>
      </c>
      <c r="F1048" s="14" t="s">
        <v>21</v>
      </c>
      <c r="G1048" s="14" t="s">
        <v>18</v>
      </c>
      <c r="H1048" s="12" t="s">
        <v>727</v>
      </c>
      <c r="I1048" s="7" t="s">
        <v>2560</v>
      </c>
      <c r="K1048" s="14" t="s">
        <v>578</v>
      </c>
      <c r="L1048" s="7" t="s">
        <v>584</v>
      </c>
      <c r="M1048" s="7" t="s">
        <v>1055</v>
      </c>
      <c r="N1048" s="7" t="s">
        <v>585</v>
      </c>
    </row>
    <row r="1049">
      <c r="A1049" s="27">
        <v>46051.0</v>
      </c>
      <c r="B1049" s="7" t="s">
        <v>2561</v>
      </c>
      <c r="C1049" s="21">
        <f>+543624098119</f>
        <v>543624098119</v>
      </c>
      <c r="D1049" s="7" t="s">
        <v>2562</v>
      </c>
      <c r="E1049" s="7" t="s">
        <v>577</v>
      </c>
      <c r="F1049" s="14" t="s">
        <v>21</v>
      </c>
      <c r="G1049" s="19" t="s">
        <v>1045</v>
      </c>
      <c r="H1049" s="12" t="s">
        <v>717</v>
      </c>
      <c r="I1049" s="7" t="s">
        <v>2563</v>
      </c>
      <c r="K1049" s="14" t="s">
        <v>578</v>
      </c>
      <c r="L1049" s="7" t="s">
        <v>579</v>
      </c>
      <c r="M1049" s="7" t="s">
        <v>1055</v>
      </c>
      <c r="N1049" s="7" t="s">
        <v>585</v>
      </c>
    </row>
    <row r="1050">
      <c r="A1050" s="27">
        <v>46051.0</v>
      </c>
      <c r="B1050" s="7" t="s">
        <v>2564</v>
      </c>
      <c r="C1050" s="21">
        <f>+542921494890</f>
        <v>542921494890</v>
      </c>
      <c r="D1050" s="7" t="s">
        <v>2565</v>
      </c>
      <c r="E1050" s="7" t="s">
        <v>577</v>
      </c>
      <c r="F1050" s="14" t="s">
        <v>21</v>
      </c>
      <c r="G1050" s="28" t="s">
        <v>25</v>
      </c>
      <c r="H1050" s="12" t="s">
        <v>717</v>
      </c>
      <c r="I1050" s="7" t="s">
        <v>1289</v>
      </c>
      <c r="K1050" s="14" t="s">
        <v>578</v>
      </c>
      <c r="L1050" s="7" t="s">
        <v>579</v>
      </c>
      <c r="M1050" s="7" t="s">
        <v>1055</v>
      </c>
      <c r="N1050" s="7" t="s">
        <v>585</v>
      </c>
    </row>
    <row r="1051">
      <c r="A1051" s="27">
        <v>46051.0</v>
      </c>
      <c r="B1051" s="7" t="s">
        <v>2566</v>
      </c>
      <c r="C1051" s="21">
        <f>+543794035871</f>
        <v>543794035871</v>
      </c>
      <c r="D1051" s="7" t="s">
        <v>2567</v>
      </c>
      <c r="E1051" s="14" t="s">
        <v>16</v>
      </c>
      <c r="F1051" s="14" t="s">
        <v>21</v>
      </c>
      <c r="G1051" s="28" t="s">
        <v>25</v>
      </c>
      <c r="H1051" s="12" t="s">
        <v>740</v>
      </c>
      <c r="I1051" s="7" t="s">
        <v>1088</v>
      </c>
      <c r="K1051" s="14" t="s">
        <v>578</v>
      </c>
      <c r="L1051" s="7" t="s">
        <v>579</v>
      </c>
      <c r="M1051" s="7" t="s">
        <v>1055</v>
      </c>
      <c r="N1051" s="7" t="s">
        <v>581</v>
      </c>
    </row>
    <row r="1052">
      <c r="A1052" s="27">
        <v>46051.0</v>
      </c>
      <c r="B1052" s="7" t="s">
        <v>2568</v>
      </c>
      <c r="C1052" s="21">
        <f>+543755207409</f>
        <v>543755207409</v>
      </c>
      <c r="D1052" s="7" t="s">
        <v>2569</v>
      </c>
      <c r="E1052" s="7" t="s">
        <v>577</v>
      </c>
      <c r="F1052" s="12" t="s">
        <v>17</v>
      </c>
      <c r="G1052" s="28" t="s">
        <v>25</v>
      </c>
      <c r="H1052" s="12" t="s">
        <v>717</v>
      </c>
      <c r="I1052" s="7" t="s">
        <v>756</v>
      </c>
      <c r="K1052" s="14" t="s">
        <v>578</v>
      </c>
      <c r="L1052" s="7" t="s">
        <v>579</v>
      </c>
      <c r="M1052" s="7" t="s">
        <v>1055</v>
      </c>
      <c r="N1052" s="7" t="s">
        <v>581</v>
      </c>
    </row>
    <row r="1053">
      <c r="A1053" s="27">
        <v>46051.0</v>
      </c>
      <c r="B1053" s="7" t="s">
        <v>2570</v>
      </c>
      <c r="C1053" s="21">
        <f>+543571596874</f>
        <v>543571596874</v>
      </c>
      <c r="D1053" s="7" t="s">
        <v>2571</v>
      </c>
      <c r="E1053" s="14" t="s">
        <v>16</v>
      </c>
      <c r="F1053" s="14" t="s">
        <v>21</v>
      </c>
      <c r="G1053" s="28" t="s">
        <v>25</v>
      </c>
      <c r="H1053" s="12" t="s">
        <v>717</v>
      </c>
      <c r="I1053" s="7" t="s">
        <v>2572</v>
      </c>
      <c r="K1053" s="14" t="s">
        <v>578</v>
      </c>
      <c r="L1053" s="7" t="s">
        <v>579</v>
      </c>
      <c r="M1053" s="7" t="s">
        <v>1055</v>
      </c>
      <c r="N1053" s="7" t="s">
        <v>585</v>
      </c>
    </row>
    <row r="1054">
      <c r="A1054" s="27">
        <v>46052.0</v>
      </c>
      <c r="B1054" s="7" t="s">
        <v>2573</v>
      </c>
      <c r="C1054" s="21">
        <f>+5493885145029</f>
        <v>5493885145029</v>
      </c>
      <c r="D1054" s="7" t="s">
        <v>2574</v>
      </c>
      <c r="E1054" s="7" t="s">
        <v>577</v>
      </c>
      <c r="F1054" s="14" t="s">
        <v>21</v>
      </c>
      <c r="G1054" s="28" t="s">
        <v>25</v>
      </c>
      <c r="H1054" s="12" t="s">
        <v>717</v>
      </c>
      <c r="I1054" s="7" t="s">
        <v>2575</v>
      </c>
      <c r="K1054" s="14" t="s">
        <v>578</v>
      </c>
      <c r="L1054" s="7" t="s">
        <v>579</v>
      </c>
      <c r="M1054" s="7" t="s">
        <v>1055</v>
      </c>
      <c r="N1054" s="7" t="s">
        <v>585</v>
      </c>
    </row>
    <row r="1055">
      <c r="A1055" s="27">
        <v>46052.0</v>
      </c>
      <c r="B1055" s="7" t="s">
        <v>2576</v>
      </c>
      <c r="C1055" s="21">
        <f>+541163218081</f>
        <v>541163218081</v>
      </c>
      <c r="D1055" s="7" t="s">
        <v>2577</v>
      </c>
      <c r="E1055" s="14" t="s">
        <v>24</v>
      </c>
      <c r="F1055" s="12" t="s">
        <v>17</v>
      </c>
      <c r="G1055" s="28" t="s">
        <v>25</v>
      </c>
      <c r="H1055" s="12" t="s">
        <v>717</v>
      </c>
      <c r="I1055" s="7" t="s">
        <v>2578</v>
      </c>
      <c r="K1055" s="14" t="s">
        <v>578</v>
      </c>
      <c r="L1055" s="7" t="s">
        <v>584</v>
      </c>
      <c r="M1055" s="7" t="s">
        <v>1055</v>
      </c>
      <c r="N1055" s="7" t="s">
        <v>585</v>
      </c>
    </row>
    <row r="1056">
      <c r="A1056" s="27">
        <v>46052.0</v>
      </c>
      <c r="B1056" s="7" t="s">
        <v>2579</v>
      </c>
      <c r="C1056" s="21">
        <f>+543513440858</f>
        <v>543513440858</v>
      </c>
      <c r="D1056" s="7" t="s">
        <v>2580</v>
      </c>
      <c r="E1056" s="7" t="s">
        <v>577</v>
      </c>
      <c r="F1056" s="14" t="s">
        <v>21</v>
      </c>
      <c r="G1056" s="19" t="s">
        <v>1045</v>
      </c>
      <c r="H1056" s="12" t="s">
        <v>717</v>
      </c>
      <c r="I1056" s="7" t="s">
        <v>2581</v>
      </c>
      <c r="K1056" s="14" t="s">
        <v>578</v>
      </c>
      <c r="L1056" s="7" t="s">
        <v>579</v>
      </c>
      <c r="M1056" s="7" t="s">
        <v>1055</v>
      </c>
      <c r="N1056" s="7" t="s">
        <v>585</v>
      </c>
    </row>
    <row r="1057">
      <c r="A1057" s="27">
        <v>46052.0</v>
      </c>
      <c r="B1057" s="7" t="s">
        <v>2582</v>
      </c>
      <c r="C1057" s="21">
        <f>+543794681191</f>
        <v>543794681191</v>
      </c>
      <c r="D1057" s="7" t="s">
        <v>2583</v>
      </c>
      <c r="E1057" s="7" t="s">
        <v>577</v>
      </c>
      <c r="F1057" s="12" t="s">
        <v>17</v>
      </c>
      <c r="G1057" s="28" t="s">
        <v>25</v>
      </c>
      <c r="H1057" s="12" t="s">
        <v>717</v>
      </c>
      <c r="I1057" s="7" t="s">
        <v>2584</v>
      </c>
      <c r="K1057" s="14" t="s">
        <v>578</v>
      </c>
      <c r="L1057" s="7" t="s">
        <v>579</v>
      </c>
      <c r="M1057" s="7" t="s">
        <v>580</v>
      </c>
      <c r="N1057" s="7" t="s">
        <v>581</v>
      </c>
    </row>
    <row r="1058">
      <c r="A1058" s="27">
        <v>46052.0</v>
      </c>
      <c r="B1058" s="7" t="s">
        <v>2585</v>
      </c>
      <c r="C1058" s="21">
        <f>+543482330625</f>
        <v>543482330625</v>
      </c>
      <c r="D1058" s="7" t="s">
        <v>2586</v>
      </c>
      <c r="E1058" s="14" t="s">
        <v>16</v>
      </c>
      <c r="F1058" s="14" t="s">
        <v>21</v>
      </c>
      <c r="G1058" s="14" t="s">
        <v>18</v>
      </c>
      <c r="H1058" s="7" t="s">
        <v>2587</v>
      </c>
      <c r="I1058" s="7" t="s">
        <v>2588</v>
      </c>
      <c r="K1058" s="14" t="s">
        <v>578</v>
      </c>
      <c r="L1058" s="7" t="s">
        <v>579</v>
      </c>
      <c r="M1058" s="7" t="s">
        <v>580</v>
      </c>
      <c r="N1058" s="7" t="s">
        <v>585</v>
      </c>
    </row>
    <row r="1059">
      <c r="A1059" s="27">
        <v>46052.0</v>
      </c>
      <c r="B1059" s="7" t="s">
        <v>2589</v>
      </c>
      <c r="C1059" s="21">
        <f>+542645034454</f>
        <v>542645034454</v>
      </c>
      <c r="D1059" s="7" t="s">
        <v>2590</v>
      </c>
      <c r="E1059" s="7" t="s">
        <v>577</v>
      </c>
      <c r="F1059" s="14" t="s">
        <v>21</v>
      </c>
      <c r="G1059" s="28" t="s">
        <v>25</v>
      </c>
      <c r="H1059" s="12" t="s">
        <v>717</v>
      </c>
      <c r="I1059" s="7" t="s">
        <v>1318</v>
      </c>
      <c r="K1059" s="14" t="s">
        <v>578</v>
      </c>
      <c r="L1059" s="7" t="s">
        <v>579</v>
      </c>
      <c r="M1059" s="7" t="s">
        <v>580</v>
      </c>
      <c r="N1059" s="7" t="s">
        <v>581</v>
      </c>
    </row>
    <row r="1060">
      <c r="A1060" s="27">
        <v>46052.0</v>
      </c>
      <c r="B1060" s="7" t="s">
        <v>2591</v>
      </c>
      <c r="C1060" s="21">
        <f>+541132615280</f>
        <v>541132615280</v>
      </c>
      <c r="D1060" s="7" t="s">
        <v>2592</v>
      </c>
      <c r="E1060" s="7" t="s">
        <v>577</v>
      </c>
      <c r="F1060" s="14" t="s">
        <v>21</v>
      </c>
      <c r="G1060" s="28" t="s">
        <v>25</v>
      </c>
      <c r="H1060" s="12" t="s">
        <v>717</v>
      </c>
      <c r="I1060" s="7" t="s">
        <v>1363</v>
      </c>
      <c r="K1060" s="14" t="s">
        <v>578</v>
      </c>
      <c r="L1060" s="7" t="s">
        <v>584</v>
      </c>
      <c r="M1060" s="7" t="s">
        <v>1055</v>
      </c>
      <c r="N1060" s="7" t="s">
        <v>585</v>
      </c>
    </row>
    <row r="1061">
      <c r="A1061" s="27">
        <v>46052.0</v>
      </c>
      <c r="B1061" s="7" t="s">
        <v>649</v>
      </c>
      <c r="C1061" s="21">
        <f>+5493731505443</f>
        <v>5493731505443</v>
      </c>
      <c r="D1061" s="7" t="s">
        <v>650</v>
      </c>
      <c r="E1061" s="7" t="s">
        <v>577</v>
      </c>
      <c r="F1061" s="14" t="s">
        <v>21</v>
      </c>
      <c r="G1061" s="28" t="s">
        <v>25</v>
      </c>
      <c r="H1061" s="12" t="s">
        <v>717</v>
      </c>
      <c r="I1061" s="7" t="s">
        <v>2593</v>
      </c>
      <c r="K1061" s="14" t="s">
        <v>578</v>
      </c>
      <c r="L1061" s="7" t="s">
        <v>579</v>
      </c>
      <c r="M1061" s="7" t="s">
        <v>580</v>
      </c>
      <c r="N1061" s="7" t="s">
        <v>585</v>
      </c>
    </row>
    <row r="1062">
      <c r="A1062" s="27">
        <v>46052.0</v>
      </c>
      <c r="B1062" s="7" t="s">
        <v>2594</v>
      </c>
      <c r="C1062" s="21">
        <f>+543858458444</f>
        <v>543858458444</v>
      </c>
      <c r="D1062" s="7" t="s">
        <v>2595</v>
      </c>
      <c r="E1062" s="7" t="s">
        <v>577</v>
      </c>
      <c r="F1062" s="14" t="s">
        <v>21</v>
      </c>
      <c r="G1062" s="28" t="s">
        <v>25</v>
      </c>
      <c r="H1062" s="12" t="s">
        <v>717</v>
      </c>
      <c r="I1062" s="7" t="s">
        <v>885</v>
      </c>
      <c r="K1062" s="14" t="s">
        <v>578</v>
      </c>
      <c r="L1062" s="7" t="s">
        <v>579</v>
      </c>
      <c r="M1062" s="7" t="s">
        <v>580</v>
      </c>
      <c r="N1062" s="7" t="s">
        <v>581</v>
      </c>
    </row>
    <row r="1063">
      <c r="A1063" s="27">
        <v>46053.0</v>
      </c>
      <c r="B1063" s="7" t="s">
        <v>2596</v>
      </c>
      <c r="C1063" s="21">
        <f>+542993299468</f>
        <v>542993299468</v>
      </c>
      <c r="D1063" s="7" t="s">
        <v>2597</v>
      </c>
      <c r="E1063" s="14" t="s">
        <v>16</v>
      </c>
      <c r="F1063" s="14" t="s">
        <v>21</v>
      </c>
      <c r="G1063" s="14" t="s">
        <v>18</v>
      </c>
      <c r="H1063" s="12" t="s">
        <v>717</v>
      </c>
      <c r="I1063" s="7" t="s">
        <v>972</v>
      </c>
      <c r="K1063" s="14" t="s">
        <v>578</v>
      </c>
      <c r="L1063" s="7" t="s">
        <v>579</v>
      </c>
      <c r="M1063" s="7" t="s">
        <v>610</v>
      </c>
      <c r="N1063" s="7" t="s">
        <v>581</v>
      </c>
    </row>
    <row r="1064">
      <c r="A1064" s="27">
        <v>46053.0</v>
      </c>
      <c r="B1064" s="7" t="s">
        <v>2598</v>
      </c>
      <c r="C1064" s="21">
        <f>+542616914676</f>
        <v>542616914676</v>
      </c>
      <c r="D1064" s="7" t="s">
        <v>2599</v>
      </c>
      <c r="E1064" s="14" t="s">
        <v>16</v>
      </c>
      <c r="F1064" s="12" t="s">
        <v>17</v>
      </c>
      <c r="G1064" s="14" t="s">
        <v>18</v>
      </c>
      <c r="H1064" s="12" t="s">
        <v>740</v>
      </c>
      <c r="I1064" s="7" t="s">
        <v>770</v>
      </c>
      <c r="K1064" s="14" t="s">
        <v>578</v>
      </c>
      <c r="L1064" s="7" t="s">
        <v>579</v>
      </c>
      <c r="M1064" s="7" t="s">
        <v>580</v>
      </c>
      <c r="N1064" s="7" t="s">
        <v>585</v>
      </c>
    </row>
    <row r="1065">
      <c r="A1065" s="27">
        <v>46053.0</v>
      </c>
      <c r="B1065" s="7" t="s">
        <v>2600</v>
      </c>
      <c r="C1065" s="21">
        <f>+542615464147</f>
        <v>542615464147</v>
      </c>
      <c r="D1065" s="7" t="s">
        <v>2601</v>
      </c>
      <c r="E1065" s="7" t="s">
        <v>577</v>
      </c>
      <c r="F1065" s="14" t="s">
        <v>21</v>
      </c>
      <c r="G1065" s="28" t="s">
        <v>25</v>
      </c>
      <c r="H1065" s="12" t="s">
        <v>717</v>
      </c>
      <c r="I1065" s="7" t="s">
        <v>2602</v>
      </c>
      <c r="K1065" s="14" t="s">
        <v>578</v>
      </c>
      <c r="L1065" s="7" t="s">
        <v>579</v>
      </c>
      <c r="M1065" s="7" t="s">
        <v>580</v>
      </c>
      <c r="N1065" s="7" t="s">
        <v>585</v>
      </c>
    </row>
    <row r="1066">
      <c r="A1066" s="27">
        <v>46053.0</v>
      </c>
      <c r="B1066" s="7" t="s">
        <v>2603</v>
      </c>
      <c r="C1066" s="21">
        <f>+543498522612</f>
        <v>543498522612</v>
      </c>
      <c r="D1066" s="7" t="s">
        <v>2604</v>
      </c>
      <c r="E1066" s="7" t="s">
        <v>577</v>
      </c>
      <c r="F1066" s="14" t="s">
        <v>21</v>
      </c>
      <c r="G1066" s="28" t="s">
        <v>25</v>
      </c>
      <c r="H1066" s="12" t="s">
        <v>717</v>
      </c>
      <c r="I1066" s="7" t="s">
        <v>770</v>
      </c>
      <c r="K1066" s="14" t="s">
        <v>578</v>
      </c>
      <c r="L1066" s="7" t="s">
        <v>579</v>
      </c>
      <c r="M1066" s="7" t="s">
        <v>580</v>
      </c>
      <c r="N1066" s="7" t="s">
        <v>585</v>
      </c>
    </row>
    <row r="1067">
      <c r="A1067" s="27">
        <v>46053.0</v>
      </c>
      <c r="B1067" s="7" t="s">
        <v>2605</v>
      </c>
      <c r="C1067" s="21">
        <f>+5491158267805</f>
        <v>5491158267805</v>
      </c>
      <c r="D1067" s="7" t="s">
        <v>2606</v>
      </c>
      <c r="E1067" s="14" t="s">
        <v>24</v>
      </c>
      <c r="F1067" s="12" t="s">
        <v>17</v>
      </c>
      <c r="G1067" s="28" t="s">
        <v>25</v>
      </c>
      <c r="H1067" s="12" t="s">
        <v>740</v>
      </c>
      <c r="I1067" s="7" t="s">
        <v>2607</v>
      </c>
      <c r="K1067" s="14" t="s">
        <v>578</v>
      </c>
      <c r="L1067" s="7" t="s">
        <v>584</v>
      </c>
      <c r="M1067" s="7" t="s">
        <v>1055</v>
      </c>
      <c r="N1067" s="7" t="s">
        <v>585</v>
      </c>
    </row>
    <row r="1068">
      <c r="A1068" s="27">
        <v>46053.0</v>
      </c>
      <c r="B1068" s="7" t="s">
        <v>2608</v>
      </c>
      <c r="C1068" s="21">
        <f>+542604603818</f>
        <v>542604603818</v>
      </c>
      <c r="D1068" s="7" t="s">
        <v>2609</v>
      </c>
      <c r="E1068" s="7" t="s">
        <v>577</v>
      </c>
      <c r="F1068" s="14" t="s">
        <v>21</v>
      </c>
      <c r="G1068" s="28" t="s">
        <v>25</v>
      </c>
      <c r="H1068" s="12" t="s">
        <v>717</v>
      </c>
      <c r="I1068" s="7" t="s">
        <v>1088</v>
      </c>
      <c r="K1068" s="14" t="s">
        <v>578</v>
      </c>
      <c r="L1068" s="7" t="s">
        <v>579</v>
      </c>
      <c r="M1068" s="7" t="s">
        <v>580</v>
      </c>
      <c r="N1068" s="7" t="s">
        <v>585</v>
      </c>
    </row>
    <row r="1069">
      <c r="A1069" s="27">
        <v>46054.0</v>
      </c>
      <c r="B1069" s="7" t="s">
        <v>2610</v>
      </c>
      <c r="C1069" s="21">
        <f>+541154737000</f>
        <v>541154737000</v>
      </c>
      <c r="D1069" s="7" t="s">
        <v>2611</v>
      </c>
      <c r="E1069" s="14" t="s">
        <v>16</v>
      </c>
      <c r="F1069" s="14" t="s">
        <v>32</v>
      </c>
      <c r="G1069" s="28" t="s">
        <v>25</v>
      </c>
      <c r="H1069" s="12" t="s">
        <v>745</v>
      </c>
      <c r="I1069" s="7" t="s">
        <v>718</v>
      </c>
      <c r="K1069" s="14" t="s">
        <v>578</v>
      </c>
      <c r="L1069" s="7" t="s">
        <v>584</v>
      </c>
      <c r="M1069" s="7" t="s">
        <v>624</v>
      </c>
      <c r="N1069" s="7" t="s">
        <v>581</v>
      </c>
    </row>
    <row r="1070">
      <c r="A1070" s="27">
        <v>46054.0</v>
      </c>
      <c r="B1070" s="7" t="s">
        <v>2612</v>
      </c>
      <c r="C1070" s="21">
        <f>+541171414104</f>
        <v>541171414104</v>
      </c>
      <c r="D1070" s="7" t="s">
        <v>2613</v>
      </c>
      <c r="E1070" s="14" t="s">
        <v>24</v>
      </c>
      <c r="F1070" s="14" t="s">
        <v>32</v>
      </c>
      <c r="G1070" s="28" t="s">
        <v>25</v>
      </c>
      <c r="H1070" s="12" t="s">
        <v>717</v>
      </c>
      <c r="I1070" s="7" t="s">
        <v>2614</v>
      </c>
      <c r="K1070" s="14" t="s">
        <v>578</v>
      </c>
      <c r="L1070" s="7" t="s">
        <v>584</v>
      </c>
      <c r="M1070" s="7" t="s">
        <v>624</v>
      </c>
      <c r="N1070" s="7" t="s">
        <v>585</v>
      </c>
    </row>
    <row r="1071">
      <c r="A1071" s="27">
        <v>46054.0</v>
      </c>
      <c r="B1071" s="7" t="s">
        <v>2615</v>
      </c>
      <c r="C1071" s="21">
        <f>+542494524791</f>
        <v>542494524791</v>
      </c>
      <c r="D1071" s="7" t="s">
        <v>2616</v>
      </c>
      <c r="E1071" s="14" t="s">
        <v>16</v>
      </c>
      <c r="F1071" s="14" t="s">
        <v>21</v>
      </c>
      <c r="G1071" s="14" t="s">
        <v>18</v>
      </c>
      <c r="H1071" s="12" t="s">
        <v>727</v>
      </c>
      <c r="I1071" s="7" t="s">
        <v>2617</v>
      </c>
      <c r="K1071" s="14" t="s">
        <v>578</v>
      </c>
      <c r="L1071" s="7" t="s">
        <v>579</v>
      </c>
      <c r="M1071" s="7" t="s">
        <v>610</v>
      </c>
      <c r="N1071" s="7" t="s">
        <v>585</v>
      </c>
    </row>
    <row r="1072">
      <c r="A1072" s="27">
        <v>46054.0</v>
      </c>
      <c r="B1072" s="7" t="s">
        <v>2618</v>
      </c>
      <c r="C1072" s="21">
        <f>+543624247799</f>
        <v>543624247799</v>
      </c>
      <c r="D1072" s="7" t="s">
        <v>2619</v>
      </c>
      <c r="E1072" s="14" t="s">
        <v>24</v>
      </c>
      <c r="F1072" s="14" t="s">
        <v>21</v>
      </c>
      <c r="G1072" s="14" t="s">
        <v>18</v>
      </c>
      <c r="H1072" s="12" t="s">
        <v>740</v>
      </c>
      <c r="I1072" s="7" t="s">
        <v>818</v>
      </c>
      <c r="K1072" s="14" t="s">
        <v>578</v>
      </c>
      <c r="L1072" s="7" t="s">
        <v>579</v>
      </c>
      <c r="M1072" s="7" t="s">
        <v>610</v>
      </c>
      <c r="N1072" s="7" t="s">
        <v>585</v>
      </c>
    </row>
    <row r="1073">
      <c r="A1073" s="27">
        <v>46054.0</v>
      </c>
      <c r="B1073" s="7" t="s">
        <v>2620</v>
      </c>
      <c r="C1073" s="21">
        <f>+541169061122</f>
        <v>541169061122</v>
      </c>
      <c r="D1073" s="7" t="s">
        <v>2621</v>
      </c>
      <c r="E1073" s="7" t="s">
        <v>577</v>
      </c>
      <c r="F1073" s="14" t="s">
        <v>21</v>
      </c>
      <c r="G1073" s="28" t="s">
        <v>25</v>
      </c>
      <c r="H1073" s="12" t="s">
        <v>717</v>
      </c>
      <c r="I1073" s="7" t="s">
        <v>718</v>
      </c>
      <c r="K1073" s="14" t="s">
        <v>578</v>
      </c>
      <c r="L1073" s="7" t="s">
        <v>584</v>
      </c>
      <c r="M1073" s="7" t="s">
        <v>624</v>
      </c>
      <c r="N1073" s="7" t="s">
        <v>585</v>
      </c>
    </row>
    <row r="1074">
      <c r="A1074" s="27">
        <v>46054.0</v>
      </c>
      <c r="B1074" s="7" t="s">
        <v>2622</v>
      </c>
      <c r="C1074" s="21">
        <f>+543541210025</f>
        <v>543541210025</v>
      </c>
      <c r="D1074" s="7" t="s">
        <v>2623</v>
      </c>
      <c r="E1074" s="7" t="s">
        <v>577</v>
      </c>
      <c r="F1074" s="14" t="s">
        <v>21</v>
      </c>
      <c r="G1074" s="14" t="s">
        <v>18</v>
      </c>
      <c r="H1074" s="12" t="s">
        <v>740</v>
      </c>
      <c r="I1074" s="7" t="s">
        <v>718</v>
      </c>
      <c r="K1074" s="14" t="s">
        <v>578</v>
      </c>
      <c r="L1074" s="7" t="s">
        <v>579</v>
      </c>
      <c r="M1074" s="7" t="s">
        <v>610</v>
      </c>
      <c r="N1074" s="7" t="s">
        <v>585</v>
      </c>
    </row>
    <row r="1075">
      <c r="A1075" s="27">
        <v>46054.0</v>
      </c>
      <c r="B1075" s="7" t="s">
        <v>2624</v>
      </c>
      <c r="C1075" s="21">
        <f>+542241505753</f>
        <v>542241505753</v>
      </c>
      <c r="D1075" s="7" t="s">
        <v>2625</v>
      </c>
      <c r="E1075" s="14" t="s">
        <v>24</v>
      </c>
      <c r="F1075" s="14" t="s">
        <v>21</v>
      </c>
      <c r="G1075" s="28" t="s">
        <v>25</v>
      </c>
      <c r="H1075" s="12" t="s">
        <v>717</v>
      </c>
      <c r="I1075" s="7" t="s">
        <v>2626</v>
      </c>
      <c r="K1075" s="14" t="s">
        <v>578</v>
      </c>
      <c r="L1075" s="7" t="s">
        <v>579</v>
      </c>
      <c r="M1075" s="7" t="s">
        <v>610</v>
      </c>
      <c r="N1075" s="7" t="s">
        <v>585</v>
      </c>
    </row>
    <row r="1076">
      <c r="A1076" s="27">
        <v>46054.0</v>
      </c>
      <c r="B1076" s="7" t="s">
        <v>2627</v>
      </c>
      <c r="C1076" s="21">
        <f>+543425207866</f>
        <v>543425207866</v>
      </c>
      <c r="D1076" s="7" t="s">
        <v>2628</v>
      </c>
      <c r="E1076" s="14" t="s">
        <v>24</v>
      </c>
      <c r="F1076" s="14" t="s">
        <v>21</v>
      </c>
      <c r="G1076" s="28" t="s">
        <v>25</v>
      </c>
      <c r="H1076" s="12" t="s">
        <v>740</v>
      </c>
      <c r="I1076" s="7" t="s">
        <v>734</v>
      </c>
      <c r="K1076" s="14" t="s">
        <v>578</v>
      </c>
      <c r="L1076" s="7" t="s">
        <v>579</v>
      </c>
      <c r="M1076" s="7" t="s">
        <v>610</v>
      </c>
      <c r="N1076" s="7" t="s">
        <v>585</v>
      </c>
    </row>
    <row r="1077">
      <c r="A1077" s="27">
        <v>46054.0</v>
      </c>
      <c r="B1077" s="7" t="s">
        <v>2629</v>
      </c>
      <c r="C1077" s="21">
        <f>+541168755826</f>
        <v>541168755826</v>
      </c>
      <c r="D1077" s="7" t="s">
        <v>2630</v>
      </c>
      <c r="E1077" s="14" t="s">
        <v>16</v>
      </c>
      <c r="F1077" s="14" t="s">
        <v>21</v>
      </c>
      <c r="G1077" s="28" t="s">
        <v>25</v>
      </c>
      <c r="H1077" s="12" t="s">
        <v>740</v>
      </c>
      <c r="I1077" s="7" t="s">
        <v>2631</v>
      </c>
      <c r="K1077" s="14" t="s">
        <v>578</v>
      </c>
      <c r="L1077" s="7" t="s">
        <v>584</v>
      </c>
      <c r="M1077" s="7" t="s">
        <v>1055</v>
      </c>
      <c r="N1077" s="7" t="s">
        <v>585</v>
      </c>
    </row>
    <row r="1078">
      <c r="A1078" s="27">
        <v>46054.0</v>
      </c>
      <c r="B1078" s="7" t="s">
        <v>2632</v>
      </c>
      <c r="C1078" s="21">
        <f>+542920471942</f>
        <v>542920471942</v>
      </c>
      <c r="D1078" s="7" t="s">
        <v>2633</v>
      </c>
      <c r="E1078" s="14" t="s">
        <v>24</v>
      </c>
      <c r="F1078" s="14" t="s">
        <v>21</v>
      </c>
      <c r="G1078" s="28" t="s">
        <v>25</v>
      </c>
      <c r="H1078" s="12" t="s">
        <v>717</v>
      </c>
      <c r="I1078" s="7" t="s">
        <v>2634</v>
      </c>
      <c r="K1078" s="14" t="s">
        <v>578</v>
      </c>
      <c r="L1078" s="7" t="s">
        <v>579</v>
      </c>
      <c r="M1078" s="7" t="s">
        <v>610</v>
      </c>
      <c r="N1078" s="7" t="s">
        <v>585</v>
      </c>
    </row>
    <row r="1079">
      <c r="A1079" s="27">
        <v>46054.0</v>
      </c>
      <c r="B1079" s="7" t="s">
        <v>2635</v>
      </c>
      <c r="C1079" s="21">
        <f>+541161685370</f>
        <v>541161685370</v>
      </c>
      <c r="D1079" s="7" t="s">
        <v>2636</v>
      </c>
      <c r="E1079" s="14" t="s">
        <v>24</v>
      </c>
      <c r="F1079" s="14" t="s">
        <v>21</v>
      </c>
      <c r="G1079" s="28" t="s">
        <v>25</v>
      </c>
      <c r="H1079" s="12" t="s">
        <v>740</v>
      </c>
      <c r="I1079" s="7" t="s">
        <v>2637</v>
      </c>
      <c r="K1079" s="14" t="s">
        <v>578</v>
      </c>
      <c r="L1079" s="7" t="s">
        <v>584</v>
      </c>
      <c r="M1079" s="7" t="s">
        <v>1055</v>
      </c>
      <c r="N1079" s="7" t="s">
        <v>585</v>
      </c>
    </row>
    <row r="1080">
      <c r="A1080" s="27">
        <v>46055.0</v>
      </c>
      <c r="B1080" s="7" t="s">
        <v>2638</v>
      </c>
      <c r="C1080" s="21">
        <f>+5493515167185</f>
        <v>5493515167185</v>
      </c>
      <c r="D1080" s="7" t="s">
        <v>2639</v>
      </c>
      <c r="E1080" s="14" t="s">
        <v>16</v>
      </c>
      <c r="F1080" s="14" t="s">
        <v>21</v>
      </c>
      <c r="G1080" s="14" t="s">
        <v>18</v>
      </c>
      <c r="H1080" s="12" t="s">
        <v>717</v>
      </c>
      <c r="I1080" s="7" t="s">
        <v>767</v>
      </c>
      <c r="K1080" s="14" t="s">
        <v>578</v>
      </c>
      <c r="L1080" s="7" t="s">
        <v>579</v>
      </c>
      <c r="M1080" s="7" t="s">
        <v>580</v>
      </c>
      <c r="N1080" s="7" t="s">
        <v>581</v>
      </c>
    </row>
    <row r="1081">
      <c r="A1081" s="27">
        <v>46055.0</v>
      </c>
      <c r="B1081" s="7" t="s">
        <v>2640</v>
      </c>
      <c r="C1081" s="21">
        <f>+542944906149</f>
        <v>542944906149</v>
      </c>
      <c r="D1081" s="7" t="s">
        <v>2641</v>
      </c>
      <c r="E1081" s="7" t="s">
        <v>577</v>
      </c>
      <c r="F1081" s="14" t="s">
        <v>21</v>
      </c>
      <c r="G1081" s="28" t="s">
        <v>25</v>
      </c>
      <c r="H1081" s="12" t="s">
        <v>717</v>
      </c>
      <c r="I1081" s="7" t="s">
        <v>2642</v>
      </c>
      <c r="K1081" s="14" t="s">
        <v>578</v>
      </c>
      <c r="L1081" s="7" t="s">
        <v>579</v>
      </c>
      <c r="M1081" s="7" t="s">
        <v>580</v>
      </c>
      <c r="N1081" s="7" t="s">
        <v>585</v>
      </c>
    </row>
    <row r="1082">
      <c r="A1082" s="27">
        <v>46055.0</v>
      </c>
      <c r="B1082" s="7" t="s">
        <v>2643</v>
      </c>
      <c r="C1082" s="21">
        <f>+543571688993</f>
        <v>543571688993</v>
      </c>
      <c r="D1082" s="7" t="s">
        <v>2644</v>
      </c>
      <c r="E1082" s="7" t="s">
        <v>577</v>
      </c>
      <c r="F1082" s="14" t="s">
        <v>21</v>
      </c>
      <c r="G1082" s="28" t="s">
        <v>25</v>
      </c>
      <c r="H1082" s="12" t="s">
        <v>740</v>
      </c>
      <c r="I1082" s="7" t="s">
        <v>1088</v>
      </c>
      <c r="K1082" s="14" t="s">
        <v>578</v>
      </c>
      <c r="L1082" s="7" t="s">
        <v>579</v>
      </c>
      <c r="M1082" s="7" t="s">
        <v>580</v>
      </c>
      <c r="N1082" s="7" t="s">
        <v>585</v>
      </c>
    </row>
    <row r="1083">
      <c r="A1083" s="27">
        <v>46055.0</v>
      </c>
      <c r="B1083" s="7" t="s">
        <v>2645</v>
      </c>
      <c r="C1083" s="21">
        <f>+542924406020</f>
        <v>542924406020</v>
      </c>
      <c r="D1083" s="7" t="s">
        <v>2646</v>
      </c>
      <c r="E1083" s="7" t="s">
        <v>577</v>
      </c>
      <c r="F1083" s="14" t="s">
        <v>21</v>
      </c>
      <c r="G1083" s="14" t="s">
        <v>18</v>
      </c>
      <c r="H1083" s="12" t="s">
        <v>745</v>
      </c>
      <c r="I1083" s="7" t="s">
        <v>855</v>
      </c>
      <c r="K1083" s="14" t="s">
        <v>578</v>
      </c>
      <c r="L1083" s="7" t="s">
        <v>579</v>
      </c>
      <c r="M1083" s="7" t="s">
        <v>580</v>
      </c>
      <c r="N1083" s="7" t="s">
        <v>581</v>
      </c>
    </row>
    <row r="1084">
      <c r="A1084" s="27">
        <v>46055.0</v>
      </c>
      <c r="B1084" s="7" t="s">
        <v>2647</v>
      </c>
      <c r="C1084" s="21">
        <f>+543416564882</f>
        <v>543416564882</v>
      </c>
      <c r="D1084" s="7" t="s">
        <v>2648</v>
      </c>
      <c r="E1084" s="7" t="s">
        <v>577</v>
      </c>
      <c r="F1084" s="12" t="s">
        <v>17</v>
      </c>
      <c r="G1084" s="14" t="s">
        <v>18</v>
      </c>
      <c r="H1084" s="12" t="s">
        <v>717</v>
      </c>
      <c r="I1084" s="7" t="s">
        <v>2029</v>
      </c>
      <c r="K1084" s="14" t="s">
        <v>578</v>
      </c>
      <c r="L1084" s="7" t="s">
        <v>579</v>
      </c>
      <c r="M1084" s="7" t="s">
        <v>580</v>
      </c>
      <c r="N1084" s="7" t="s">
        <v>581</v>
      </c>
    </row>
    <row r="1085">
      <c r="A1085" s="27">
        <v>46055.0</v>
      </c>
      <c r="B1085" s="7" t="s">
        <v>2649</v>
      </c>
      <c r="C1085" s="21">
        <f>+543794634457</f>
        <v>543794634457</v>
      </c>
      <c r="D1085" s="7" t="s">
        <v>2650</v>
      </c>
      <c r="E1085" s="14" t="s">
        <v>24</v>
      </c>
      <c r="F1085" s="14" t="s">
        <v>21</v>
      </c>
      <c r="G1085" s="14" t="s">
        <v>18</v>
      </c>
      <c r="H1085" s="12" t="s">
        <v>740</v>
      </c>
      <c r="I1085" s="7" t="s">
        <v>2651</v>
      </c>
      <c r="K1085" s="14" t="s">
        <v>578</v>
      </c>
      <c r="L1085" s="7" t="s">
        <v>579</v>
      </c>
      <c r="M1085" s="7" t="s">
        <v>580</v>
      </c>
      <c r="N1085" s="7" t="s">
        <v>585</v>
      </c>
    </row>
    <row r="1086">
      <c r="A1086" s="27">
        <v>46055.0</v>
      </c>
      <c r="B1086" s="7" t="s">
        <v>2652</v>
      </c>
      <c r="C1086" s="21">
        <f>+543764883124</f>
        <v>543764883124</v>
      </c>
      <c r="D1086" s="7" t="s">
        <v>2653</v>
      </c>
      <c r="E1086" s="14" t="s">
        <v>24</v>
      </c>
      <c r="F1086" s="14" t="s">
        <v>21</v>
      </c>
      <c r="G1086" s="28" t="s">
        <v>25</v>
      </c>
      <c r="H1086" s="12" t="s">
        <v>717</v>
      </c>
      <c r="I1086" s="7" t="s">
        <v>2654</v>
      </c>
      <c r="K1086" s="14" t="s">
        <v>578</v>
      </c>
      <c r="L1086" s="7" t="s">
        <v>579</v>
      </c>
      <c r="M1086" s="7" t="s">
        <v>580</v>
      </c>
      <c r="N1086" s="7" t="s">
        <v>585</v>
      </c>
    </row>
    <row r="1087">
      <c r="A1087" s="27">
        <v>46055.0</v>
      </c>
      <c r="B1087" s="7" t="s">
        <v>2655</v>
      </c>
      <c r="C1087" s="21">
        <f>+543435449369</f>
        <v>543435449369</v>
      </c>
      <c r="D1087" s="7" t="s">
        <v>2656</v>
      </c>
      <c r="E1087" s="7" t="s">
        <v>577</v>
      </c>
      <c r="F1087" s="14" t="s">
        <v>21</v>
      </c>
      <c r="G1087" s="28" t="s">
        <v>25</v>
      </c>
      <c r="H1087" s="12" t="s">
        <v>717</v>
      </c>
      <c r="I1087" s="7" t="s">
        <v>1060</v>
      </c>
      <c r="K1087" s="14" t="s">
        <v>578</v>
      </c>
      <c r="L1087" s="7" t="s">
        <v>579</v>
      </c>
      <c r="M1087" s="7" t="s">
        <v>610</v>
      </c>
      <c r="N1087" s="7" t="s">
        <v>585</v>
      </c>
    </row>
    <row r="1088">
      <c r="A1088" s="27">
        <v>46055.0</v>
      </c>
      <c r="B1088" s="7" t="s">
        <v>2657</v>
      </c>
      <c r="C1088" s="21">
        <f>+543573403450</f>
        <v>543573403450</v>
      </c>
      <c r="D1088" s="7" t="s">
        <v>2658</v>
      </c>
      <c r="E1088" s="7" t="s">
        <v>577</v>
      </c>
      <c r="F1088" s="14" t="s">
        <v>21</v>
      </c>
      <c r="G1088" s="28" t="s">
        <v>25</v>
      </c>
      <c r="H1088" s="12" t="s">
        <v>717</v>
      </c>
      <c r="I1088" s="7" t="s">
        <v>2659</v>
      </c>
      <c r="K1088" s="14" t="s">
        <v>578</v>
      </c>
      <c r="L1088" s="7" t="s">
        <v>579</v>
      </c>
      <c r="M1088" s="7" t="s">
        <v>610</v>
      </c>
      <c r="N1088" s="7" t="s">
        <v>585</v>
      </c>
    </row>
    <row r="1089">
      <c r="A1089" s="27">
        <v>46056.0</v>
      </c>
      <c r="B1089" s="7" t="s">
        <v>2660</v>
      </c>
      <c r="C1089" s="21">
        <f>+543816412057</f>
        <v>543816412057</v>
      </c>
      <c r="D1089" s="7" t="s">
        <v>2661</v>
      </c>
      <c r="E1089" s="14" t="s">
        <v>24</v>
      </c>
      <c r="F1089" s="14" t="s">
        <v>21</v>
      </c>
      <c r="G1089" s="28" t="s">
        <v>25</v>
      </c>
      <c r="H1089" s="12" t="s">
        <v>717</v>
      </c>
      <c r="I1089" s="7" t="s">
        <v>801</v>
      </c>
      <c r="K1089" s="14" t="s">
        <v>578</v>
      </c>
      <c r="L1089" s="7" t="s">
        <v>579</v>
      </c>
      <c r="M1089" s="7" t="s">
        <v>610</v>
      </c>
      <c r="N1089" s="7" t="s">
        <v>585</v>
      </c>
    </row>
    <row r="1090">
      <c r="A1090" s="27">
        <v>46056.0</v>
      </c>
      <c r="B1090" s="7" t="s">
        <v>2662</v>
      </c>
      <c r="C1090" s="21">
        <f>+541165870811</f>
        <v>541165870811</v>
      </c>
      <c r="D1090" s="7" t="s">
        <v>2663</v>
      </c>
      <c r="E1090" s="14" t="s">
        <v>24</v>
      </c>
      <c r="F1090" s="14" t="s">
        <v>21</v>
      </c>
      <c r="G1090" s="28" t="s">
        <v>25</v>
      </c>
      <c r="H1090" s="12" t="s">
        <v>740</v>
      </c>
      <c r="I1090" s="7" t="s">
        <v>2664</v>
      </c>
      <c r="K1090" s="14" t="s">
        <v>578</v>
      </c>
      <c r="L1090" s="7" t="s">
        <v>584</v>
      </c>
      <c r="M1090" s="7" t="s">
        <v>624</v>
      </c>
      <c r="N1090" s="7" t="s">
        <v>581</v>
      </c>
    </row>
    <row r="1091">
      <c r="A1091" s="27">
        <v>46056.0</v>
      </c>
      <c r="B1091" s="7" t="s">
        <v>2665</v>
      </c>
      <c r="C1091" s="21">
        <f>+541124849157</f>
        <v>541124849157</v>
      </c>
      <c r="D1091" s="7" t="s">
        <v>2666</v>
      </c>
      <c r="E1091" s="14" t="s">
        <v>24</v>
      </c>
      <c r="F1091" s="14" t="s">
        <v>21</v>
      </c>
      <c r="G1091" s="28" t="s">
        <v>25</v>
      </c>
      <c r="H1091" s="12" t="s">
        <v>717</v>
      </c>
      <c r="I1091" s="7" t="s">
        <v>2667</v>
      </c>
      <c r="K1091" s="14" t="s">
        <v>578</v>
      </c>
      <c r="L1091" s="7" t="s">
        <v>584</v>
      </c>
      <c r="M1091" s="7" t="s">
        <v>624</v>
      </c>
      <c r="N1091" s="7" t="s">
        <v>585</v>
      </c>
    </row>
    <row r="1092">
      <c r="A1092" s="27">
        <v>46056.0</v>
      </c>
      <c r="B1092" s="7" t="s">
        <v>2668</v>
      </c>
      <c r="C1092" s="21">
        <f>+541140968696</f>
        <v>541140968696</v>
      </c>
      <c r="D1092" s="7" t="s">
        <v>2669</v>
      </c>
      <c r="E1092" s="14" t="s">
        <v>24</v>
      </c>
      <c r="F1092" s="14" t="s">
        <v>21</v>
      </c>
      <c r="G1092" s="28" t="s">
        <v>25</v>
      </c>
      <c r="H1092" s="12" t="s">
        <v>717</v>
      </c>
      <c r="I1092" s="7" t="s">
        <v>2670</v>
      </c>
      <c r="K1092" s="14" t="s">
        <v>578</v>
      </c>
      <c r="L1092" s="7" t="s">
        <v>584</v>
      </c>
      <c r="M1092" s="7" t="s">
        <v>624</v>
      </c>
      <c r="N1092" s="7" t="s">
        <v>585</v>
      </c>
    </row>
    <row r="1093">
      <c r="A1093" s="27">
        <v>46056.0</v>
      </c>
      <c r="B1093" s="7" t="s">
        <v>2671</v>
      </c>
      <c r="C1093" s="21">
        <f>+5493583400950</f>
        <v>5493583400950</v>
      </c>
      <c r="D1093" s="7" t="s">
        <v>2672</v>
      </c>
      <c r="E1093" s="7" t="s">
        <v>577</v>
      </c>
      <c r="F1093" s="14" t="s">
        <v>21</v>
      </c>
      <c r="G1093" s="28" t="s">
        <v>25</v>
      </c>
      <c r="H1093" s="12" t="s">
        <v>745</v>
      </c>
      <c r="I1093" s="7" t="s">
        <v>2673</v>
      </c>
      <c r="K1093" s="14" t="s">
        <v>578</v>
      </c>
      <c r="L1093" s="7" t="s">
        <v>579</v>
      </c>
      <c r="M1093" s="7" t="s">
        <v>610</v>
      </c>
      <c r="N1093" s="7" t="s">
        <v>585</v>
      </c>
    </row>
    <row r="1094">
      <c r="A1094" s="27">
        <v>46056.0</v>
      </c>
      <c r="B1094" s="7" t="s">
        <v>2674</v>
      </c>
      <c r="C1094" s="21">
        <f>+542644500590</f>
        <v>542644500590</v>
      </c>
      <c r="D1094" s="7" t="s">
        <v>2675</v>
      </c>
      <c r="E1094" s="7" t="s">
        <v>577</v>
      </c>
      <c r="F1094" s="14" t="s">
        <v>21</v>
      </c>
      <c r="G1094" s="28" t="s">
        <v>25</v>
      </c>
      <c r="H1094" s="12" t="s">
        <v>717</v>
      </c>
      <c r="I1094" s="7" t="s">
        <v>2676</v>
      </c>
      <c r="K1094" s="14" t="s">
        <v>578</v>
      </c>
      <c r="L1094" s="7" t="s">
        <v>579</v>
      </c>
      <c r="M1094" s="7" t="s">
        <v>610</v>
      </c>
      <c r="N1094" s="7" t="s">
        <v>585</v>
      </c>
    </row>
    <row r="1095">
      <c r="A1095" s="27">
        <v>46056.0</v>
      </c>
      <c r="B1095" s="7" t="s">
        <v>2677</v>
      </c>
      <c r="C1095" s="23" t="s">
        <v>2678</v>
      </c>
      <c r="D1095" s="7" t="s">
        <v>2679</v>
      </c>
      <c r="E1095" s="14" t="s">
        <v>16</v>
      </c>
      <c r="F1095" s="12" t="s">
        <v>17</v>
      </c>
      <c r="G1095" s="28" t="s">
        <v>25</v>
      </c>
      <c r="H1095" s="12" t="s">
        <v>717</v>
      </c>
      <c r="I1095" s="7" t="s">
        <v>2680</v>
      </c>
      <c r="K1095" s="14" t="s">
        <v>578</v>
      </c>
      <c r="L1095" s="7" t="s">
        <v>579</v>
      </c>
      <c r="M1095" s="7" t="s">
        <v>610</v>
      </c>
      <c r="N1095" s="7" t="s">
        <v>585</v>
      </c>
    </row>
    <row r="1096">
      <c r="A1096" s="27">
        <v>46057.0</v>
      </c>
      <c r="B1096" s="7" t="s">
        <v>2681</v>
      </c>
      <c r="C1096" s="21">
        <f>+541136550500</f>
        <v>541136550500</v>
      </c>
      <c r="D1096" s="7" t="s">
        <v>2682</v>
      </c>
      <c r="E1096" s="14" t="s">
        <v>24</v>
      </c>
      <c r="F1096" s="14" t="s">
        <v>21</v>
      </c>
      <c r="G1096" s="14" t="s">
        <v>18</v>
      </c>
      <c r="H1096" s="12" t="s">
        <v>717</v>
      </c>
      <c r="I1096" s="7" t="s">
        <v>2602</v>
      </c>
      <c r="K1096" s="14" t="s">
        <v>578</v>
      </c>
      <c r="L1096" s="7" t="s">
        <v>579</v>
      </c>
      <c r="M1096" s="7" t="s">
        <v>1055</v>
      </c>
      <c r="N1096" s="7" t="s">
        <v>585</v>
      </c>
    </row>
    <row r="1097">
      <c r="A1097" s="27">
        <v>46057.0</v>
      </c>
      <c r="B1097" s="7" t="s">
        <v>2683</v>
      </c>
      <c r="C1097" s="21">
        <f>+5492235475606</f>
        <v>5492235475606</v>
      </c>
      <c r="D1097" s="7" t="s">
        <v>2684</v>
      </c>
      <c r="E1097" s="7" t="s">
        <v>577</v>
      </c>
      <c r="F1097" s="14" t="s">
        <v>21</v>
      </c>
      <c r="G1097" s="28" t="s">
        <v>25</v>
      </c>
      <c r="H1097" s="12" t="s">
        <v>745</v>
      </c>
      <c r="I1097" s="7" t="s">
        <v>2685</v>
      </c>
      <c r="K1097" s="14" t="s">
        <v>578</v>
      </c>
      <c r="L1097" s="7" t="s">
        <v>579</v>
      </c>
      <c r="M1097" s="7" t="s">
        <v>1055</v>
      </c>
      <c r="N1097" s="7" t="s">
        <v>585</v>
      </c>
    </row>
    <row r="1098">
      <c r="A1098" s="27">
        <v>46057.0</v>
      </c>
      <c r="B1098" s="7" t="s">
        <v>2686</v>
      </c>
      <c r="C1098" s="21">
        <f>+543434557493</f>
        <v>543434557493</v>
      </c>
      <c r="D1098" s="7" t="s">
        <v>2687</v>
      </c>
      <c r="E1098" s="7" t="s">
        <v>577</v>
      </c>
      <c r="F1098" s="14" t="s">
        <v>21</v>
      </c>
      <c r="G1098" s="28" t="s">
        <v>25</v>
      </c>
      <c r="H1098" s="12" t="s">
        <v>717</v>
      </c>
      <c r="I1098" s="7" t="s">
        <v>2688</v>
      </c>
      <c r="K1098" s="14" t="s">
        <v>578</v>
      </c>
      <c r="L1098" s="7" t="s">
        <v>579</v>
      </c>
      <c r="M1098" s="7" t="s">
        <v>1055</v>
      </c>
      <c r="N1098" s="7" t="s">
        <v>585</v>
      </c>
    </row>
    <row r="1099">
      <c r="A1099" s="27">
        <v>46057.0</v>
      </c>
      <c r="B1099" s="7" t="s">
        <v>2689</v>
      </c>
      <c r="C1099" s="21">
        <f>+5493517372715</f>
        <v>5493517372715</v>
      </c>
      <c r="D1099" s="7" t="s">
        <v>2690</v>
      </c>
      <c r="E1099" s="14" t="s">
        <v>24</v>
      </c>
      <c r="F1099" s="14" t="s">
        <v>21</v>
      </c>
      <c r="G1099" s="28" t="s">
        <v>25</v>
      </c>
      <c r="H1099" s="12" t="s">
        <v>740</v>
      </c>
      <c r="I1099" s="7" t="s">
        <v>718</v>
      </c>
      <c r="K1099" s="14" t="s">
        <v>578</v>
      </c>
      <c r="L1099" s="7" t="s">
        <v>579</v>
      </c>
      <c r="M1099" s="7" t="s">
        <v>1055</v>
      </c>
      <c r="N1099" s="7" t="s">
        <v>581</v>
      </c>
    </row>
    <row r="1100">
      <c r="A1100" s="27">
        <v>46057.0</v>
      </c>
      <c r="B1100" s="7" t="s">
        <v>2691</v>
      </c>
      <c r="C1100" s="21">
        <f>+542314576570</f>
        <v>542314576570</v>
      </c>
      <c r="D1100" s="7" t="s">
        <v>2692</v>
      </c>
      <c r="E1100" s="14" t="s">
        <v>24</v>
      </c>
      <c r="F1100" s="14" t="s">
        <v>21</v>
      </c>
      <c r="G1100" s="28" t="s">
        <v>25</v>
      </c>
      <c r="H1100" s="12" t="s">
        <v>717</v>
      </c>
      <c r="I1100" s="7" t="s">
        <v>2693</v>
      </c>
      <c r="K1100" s="14" t="s">
        <v>578</v>
      </c>
      <c r="L1100" s="7" t="s">
        <v>579</v>
      </c>
      <c r="M1100" s="7" t="s">
        <v>1055</v>
      </c>
      <c r="N1100" s="7" t="s">
        <v>585</v>
      </c>
    </row>
    <row r="1101">
      <c r="A1101" s="27">
        <v>46057.0</v>
      </c>
      <c r="B1101" s="7" t="s">
        <v>2694</v>
      </c>
      <c r="C1101" s="21">
        <f>+543854132841</f>
        <v>543854132841</v>
      </c>
      <c r="D1101" s="7" t="s">
        <v>2695</v>
      </c>
      <c r="E1101" s="14" t="s">
        <v>24</v>
      </c>
      <c r="F1101" s="14" t="s">
        <v>21</v>
      </c>
      <c r="G1101" s="14" t="s">
        <v>18</v>
      </c>
      <c r="H1101" s="12" t="s">
        <v>717</v>
      </c>
      <c r="I1101" s="7" t="s">
        <v>770</v>
      </c>
      <c r="K1101" s="14" t="s">
        <v>578</v>
      </c>
      <c r="L1101" s="7" t="s">
        <v>579</v>
      </c>
      <c r="M1101" s="7" t="s">
        <v>610</v>
      </c>
      <c r="N1101" s="7" t="s">
        <v>585</v>
      </c>
    </row>
    <row r="1102">
      <c r="A1102" s="27">
        <v>46057.0</v>
      </c>
      <c r="B1102" s="7" t="s">
        <v>2696</v>
      </c>
      <c r="C1102" s="21">
        <f>+543544446177</f>
        <v>543544446177</v>
      </c>
      <c r="D1102" s="7" t="s">
        <v>2697</v>
      </c>
      <c r="E1102" s="14" t="s">
        <v>16</v>
      </c>
      <c r="F1102" s="14" t="s">
        <v>21</v>
      </c>
      <c r="G1102" s="28" t="s">
        <v>25</v>
      </c>
      <c r="H1102" s="12" t="s">
        <v>745</v>
      </c>
      <c r="I1102" s="7" t="s">
        <v>1289</v>
      </c>
      <c r="K1102" s="14" t="s">
        <v>578</v>
      </c>
      <c r="L1102" s="7" t="s">
        <v>579</v>
      </c>
      <c r="M1102" s="7" t="s">
        <v>624</v>
      </c>
      <c r="N1102" s="7" t="s">
        <v>585</v>
      </c>
    </row>
    <row r="1103">
      <c r="A1103" s="27">
        <v>46057.0</v>
      </c>
      <c r="B1103" s="7" t="s">
        <v>2698</v>
      </c>
      <c r="C1103" s="21">
        <f>+541151347066</f>
        <v>541151347066</v>
      </c>
      <c r="D1103" s="7" t="s">
        <v>2699</v>
      </c>
      <c r="E1103" s="14" t="s">
        <v>24</v>
      </c>
      <c r="F1103" s="14" t="s">
        <v>21</v>
      </c>
      <c r="G1103" s="19" t="s">
        <v>1045</v>
      </c>
      <c r="H1103" s="12" t="s">
        <v>740</v>
      </c>
      <c r="I1103" s="7" t="s">
        <v>992</v>
      </c>
      <c r="K1103" s="14" t="s">
        <v>578</v>
      </c>
      <c r="L1103" s="7" t="s">
        <v>584</v>
      </c>
      <c r="M1103" s="7" t="s">
        <v>624</v>
      </c>
      <c r="N1103" s="7" t="s">
        <v>581</v>
      </c>
    </row>
    <row r="1104">
      <c r="A1104" s="27">
        <v>46058.0</v>
      </c>
      <c r="B1104" s="7" t="s">
        <v>2700</v>
      </c>
      <c r="C1104" s="21">
        <f>+5492645141407</f>
        <v>5492645141407</v>
      </c>
      <c r="D1104" s="7" t="s">
        <v>2701</v>
      </c>
      <c r="E1104" s="14" t="s">
        <v>24</v>
      </c>
      <c r="F1104" s="14" t="s">
        <v>21</v>
      </c>
      <c r="G1104" s="14" t="s">
        <v>18</v>
      </c>
      <c r="H1104" s="12" t="s">
        <v>717</v>
      </c>
      <c r="I1104" s="7" t="s">
        <v>920</v>
      </c>
      <c r="K1104" s="14" t="s">
        <v>578</v>
      </c>
      <c r="L1104" s="7" t="s">
        <v>579</v>
      </c>
      <c r="M1104" s="7" t="s">
        <v>610</v>
      </c>
      <c r="N1104" s="7" t="s">
        <v>585</v>
      </c>
    </row>
    <row r="1105">
      <c r="A1105" s="27">
        <v>46058.0</v>
      </c>
      <c r="B1105" s="7" t="s">
        <v>2702</v>
      </c>
      <c r="C1105" s="21">
        <f>+543435109061</f>
        <v>543435109061</v>
      </c>
      <c r="D1105" s="7" t="s">
        <v>2703</v>
      </c>
      <c r="E1105" s="7" t="s">
        <v>577</v>
      </c>
      <c r="F1105" s="14" t="s">
        <v>21</v>
      </c>
      <c r="G1105" s="14" t="s">
        <v>18</v>
      </c>
      <c r="H1105" s="12" t="s">
        <v>727</v>
      </c>
      <c r="I1105" s="7" t="s">
        <v>2704</v>
      </c>
      <c r="K1105" s="14" t="s">
        <v>578</v>
      </c>
      <c r="L1105" s="7" t="s">
        <v>579</v>
      </c>
      <c r="M1105" s="7" t="s">
        <v>610</v>
      </c>
      <c r="N1105" s="7" t="s">
        <v>585</v>
      </c>
    </row>
    <row r="1106">
      <c r="A1106" s="27">
        <v>46058.0</v>
      </c>
      <c r="B1106" s="7" t="s">
        <v>2705</v>
      </c>
      <c r="C1106" s="21">
        <f>+541159246231</f>
        <v>541159246231</v>
      </c>
      <c r="D1106" s="7" t="s">
        <v>2706</v>
      </c>
      <c r="E1106" s="14" t="s">
        <v>24</v>
      </c>
      <c r="F1106" s="14" t="s">
        <v>32</v>
      </c>
      <c r="G1106" s="28" t="s">
        <v>25</v>
      </c>
      <c r="H1106" s="12" t="s">
        <v>717</v>
      </c>
      <c r="I1106" s="7" t="s">
        <v>2707</v>
      </c>
      <c r="K1106" s="14" t="s">
        <v>578</v>
      </c>
      <c r="L1106" s="7" t="s">
        <v>584</v>
      </c>
      <c r="M1106" s="7" t="s">
        <v>580</v>
      </c>
      <c r="N1106" s="7" t="s">
        <v>585</v>
      </c>
    </row>
    <row r="1107">
      <c r="A1107" s="27">
        <v>46059.0</v>
      </c>
      <c r="B1107" s="7" t="s">
        <v>2708</v>
      </c>
      <c r="C1107" s="21">
        <f>+543424738352</f>
        <v>543424738352</v>
      </c>
      <c r="D1107" s="7" t="s">
        <v>2709</v>
      </c>
      <c r="E1107" s="14" t="s">
        <v>24</v>
      </c>
      <c r="F1107" s="14" t="s">
        <v>21</v>
      </c>
      <c r="G1107" s="28" t="s">
        <v>25</v>
      </c>
      <c r="H1107" s="12" t="s">
        <v>717</v>
      </c>
      <c r="I1107" s="7" t="s">
        <v>718</v>
      </c>
      <c r="K1107" s="14" t="s">
        <v>578</v>
      </c>
      <c r="L1107" s="7" t="s">
        <v>579</v>
      </c>
      <c r="M1107" s="7" t="s">
        <v>1055</v>
      </c>
      <c r="N1107" s="7" t="s">
        <v>585</v>
      </c>
    </row>
    <row r="1108">
      <c r="A1108" s="27">
        <v>46059.0</v>
      </c>
      <c r="B1108" s="7" t="s">
        <v>2710</v>
      </c>
      <c r="C1108" s="21">
        <f>+542494538393</f>
        <v>542494538393</v>
      </c>
      <c r="D1108" s="7" t="s">
        <v>2711</v>
      </c>
      <c r="E1108" s="7" t="s">
        <v>577</v>
      </c>
      <c r="F1108" s="14" t="s">
        <v>21</v>
      </c>
      <c r="G1108" s="28" t="s">
        <v>25</v>
      </c>
      <c r="H1108" s="12" t="s">
        <v>717</v>
      </c>
      <c r="I1108" s="7" t="s">
        <v>2712</v>
      </c>
      <c r="K1108" s="14" t="s">
        <v>578</v>
      </c>
      <c r="L1108" s="7" t="s">
        <v>579</v>
      </c>
      <c r="M1108" s="7" t="s">
        <v>1055</v>
      </c>
      <c r="N1108" s="7" t="s">
        <v>585</v>
      </c>
    </row>
    <row r="1109">
      <c r="A1109" s="27">
        <v>46059.0</v>
      </c>
      <c r="B1109" s="7" t="s">
        <v>2713</v>
      </c>
      <c r="C1109" s="21">
        <f>+543564362071</f>
        <v>543564362071</v>
      </c>
      <c r="D1109" s="7" t="s">
        <v>2714</v>
      </c>
      <c r="E1109" s="14" t="s">
        <v>24</v>
      </c>
      <c r="F1109" s="14" t="s">
        <v>21</v>
      </c>
      <c r="G1109" s="28" t="s">
        <v>25</v>
      </c>
      <c r="H1109" s="12" t="s">
        <v>717</v>
      </c>
      <c r="I1109" s="7" t="s">
        <v>2715</v>
      </c>
      <c r="K1109" s="14" t="s">
        <v>578</v>
      </c>
      <c r="L1109" s="7" t="s">
        <v>579</v>
      </c>
      <c r="M1109" s="7" t="s">
        <v>1055</v>
      </c>
      <c r="N1109" s="7" t="s">
        <v>581</v>
      </c>
    </row>
    <row r="1110">
      <c r="A1110" s="27">
        <v>46059.0</v>
      </c>
      <c r="B1110" s="7" t="s">
        <v>2716</v>
      </c>
      <c r="C1110" s="23">
        <v>3.564605934E9</v>
      </c>
      <c r="D1110" s="7" t="s">
        <v>2717</v>
      </c>
      <c r="E1110" s="14" t="s">
        <v>16</v>
      </c>
      <c r="F1110" s="14" t="s">
        <v>21</v>
      </c>
      <c r="G1110" s="14" t="s">
        <v>18</v>
      </c>
      <c r="H1110" s="12" t="s">
        <v>717</v>
      </c>
      <c r="I1110" s="7" t="s">
        <v>2718</v>
      </c>
      <c r="K1110" s="14" t="s">
        <v>578</v>
      </c>
      <c r="L1110" s="7" t="s">
        <v>579</v>
      </c>
      <c r="M1110" s="7" t="s">
        <v>1055</v>
      </c>
      <c r="N1110" s="7" t="s">
        <v>585</v>
      </c>
    </row>
    <row r="1111">
      <c r="A1111" s="27">
        <v>46059.0</v>
      </c>
      <c r="B1111" s="7" t="s">
        <v>2719</v>
      </c>
      <c r="C1111" s="21">
        <f>+542364411907</f>
        <v>542364411907</v>
      </c>
      <c r="D1111" s="7" t="s">
        <v>2720</v>
      </c>
      <c r="E1111" s="14" t="s">
        <v>24</v>
      </c>
      <c r="F1111" s="14" t="s">
        <v>21</v>
      </c>
      <c r="G1111" s="28" t="s">
        <v>25</v>
      </c>
      <c r="H1111" s="12" t="s">
        <v>717</v>
      </c>
      <c r="I1111" s="7" t="s">
        <v>2721</v>
      </c>
      <c r="K1111" s="14" t="s">
        <v>578</v>
      </c>
      <c r="L1111" s="7" t="s">
        <v>579</v>
      </c>
      <c r="M1111" s="7" t="s">
        <v>1055</v>
      </c>
      <c r="N1111" s="7" t="s">
        <v>585</v>
      </c>
    </row>
    <row r="1112">
      <c r="A1112" s="27">
        <v>46059.0</v>
      </c>
      <c r="B1112" s="7" t="s">
        <v>2722</v>
      </c>
      <c r="C1112" s="21">
        <f>+5492984206175</f>
        <v>5492984206175</v>
      </c>
      <c r="D1112" s="7" t="s">
        <v>2723</v>
      </c>
      <c r="E1112" s="7" t="s">
        <v>577</v>
      </c>
      <c r="F1112" s="14" t="s">
        <v>21</v>
      </c>
      <c r="G1112" s="28" t="s">
        <v>25</v>
      </c>
      <c r="H1112" s="12" t="s">
        <v>717</v>
      </c>
      <c r="I1112" s="7" t="s">
        <v>920</v>
      </c>
      <c r="K1112" s="14" t="s">
        <v>578</v>
      </c>
      <c r="L1112" s="7" t="s">
        <v>579</v>
      </c>
      <c r="M1112" s="7" t="s">
        <v>610</v>
      </c>
      <c r="N1112" s="7" t="s">
        <v>585</v>
      </c>
    </row>
    <row r="1113">
      <c r="A1113" s="27">
        <v>46060.0</v>
      </c>
      <c r="B1113" s="7" t="s">
        <v>2724</v>
      </c>
      <c r="C1113" s="21">
        <f>+541123927632</f>
        <v>541123927632</v>
      </c>
      <c r="D1113" s="7" t="s">
        <v>2725</v>
      </c>
      <c r="E1113" s="14" t="s">
        <v>16</v>
      </c>
      <c r="F1113" s="12" t="s">
        <v>17</v>
      </c>
      <c r="G1113" s="28" t="s">
        <v>25</v>
      </c>
      <c r="H1113" s="12" t="s">
        <v>740</v>
      </c>
      <c r="I1113" s="7" t="s">
        <v>718</v>
      </c>
      <c r="K1113" s="14" t="s">
        <v>578</v>
      </c>
      <c r="L1113" s="7" t="s">
        <v>584</v>
      </c>
      <c r="M1113" s="7" t="s">
        <v>580</v>
      </c>
      <c r="N1113" s="7" t="s">
        <v>585</v>
      </c>
    </row>
    <row r="1114">
      <c r="A1114" s="27">
        <v>46060.0</v>
      </c>
      <c r="B1114" s="7" t="s">
        <v>2726</v>
      </c>
      <c r="C1114" s="21">
        <f>+542235626587</f>
        <v>542235626587</v>
      </c>
      <c r="D1114" s="7" t="s">
        <v>2727</v>
      </c>
      <c r="E1114" s="7" t="s">
        <v>577</v>
      </c>
      <c r="F1114" s="14" t="s">
        <v>21</v>
      </c>
      <c r="G1114" s="28" t="s">
        <v>25</v>
      </c>
      <c r="H1114" s="12" t="s">
        <v>717</v>
      </c>
      <c r="I1114" s="7" t="s">
        <v>2728</v>
      </c>
      <c r="K1114" s="14" t="s">
        <v>578</v>
      </c>
      <c r="L1114" s="7" t="s">
        <v>579</v>
      </c>
      <c r="M1114" s="7" t="s">
        <v>1055</v>
      </c>
      <c r="N1114" s="7" t="s">
        <v>585</v>
      </c>
    </row>
    <row r="1115">
      <c r="A1115" s="27">
        <v>46060.0</v>
      </c>
      <c r="B1115" s="7" t="s">
        <v>2729</v>
      </c>
      <c r="C1115" s="21">
        <f>+543584415731</f>
        <v>543584415731</v>
      </c>
      <c r="D1115" s="7" t="s">
        <v>2730</v>
      </c>
      <c r="E1115" s="14" t="s">
        <v>16</v>
      </c>
      <c r="F1115" s="14" t="s">
        <v>21</v>
      </c>
      <c r="G1115" s="28" t="s">
        <v>25</v>
      </c>
      <c r="H1115" s="12" t="s">
        <v>727</v>
      </c>
      <c r="I1115" s="7" t="s">
        <v>2731</v>
      </c>
      <c r="K1115" s="14" t="s">
        <v>578</v>
      </c>
      <c r="L1115" s="7" t="s">
        <v>579</v>
      </c>
      <c r="M1115" s="7" t="s">
        <v>1055</v>
      </c>
      <c r="N1115" s="7" t="s">
        <v>585</v>
      </c>
    </row>
    <row r="1116">
      <c r="A1116" s="27">
        <v>46060.0</v>
      </c>
      <c r="B1116" s="7" t="s">
        <v>2732</v>
      </c>
      <c r="C1116" s="21">
        <f>+5491154836140</f>
        <v>5491154836140</v>
      </c>
      <c r="D1116" s="7" t="s">
        <v>2733</v>
      </c>
      <c r="E1116" s="14" t="s">
        <v>24</v>
      </c>
      <c r="F1116" s="14" t="s">
        <v>21</v>
      </c>
      <c r="G1116" s="14" t="s">
        <v>18</v>
      </c>
      <c r="H1116" s="12" t="s">
        <v>717</v>
      </c>
      <c r="I1116" s="7" t="s">
        <v>818</v>
      </c>
      <c r="K1116" s="14" t="s">
        <v>578</v>
      </c>
      <c r="L1116" s="7" t="s">
        <v>584</v>
      </c>
      <c r="M1116" s="7" t="s">
        <v>580</v>
      </c>
      <c r="N1116" s="7" t="s">
        <v>585</v>
      </c>
    </row>
    <row r="1117">
      <c r="A1117" s="27">
        <v>46060.0</v>
      </c>
      <c r="B1117" s="7" t="s">
        <v>2734</v>
      </c>
      <c r="C1117" s="21">
        <f>+543462682188</f>
        <v>543462682188</v>
      </c>
      <c r="D1117" s="7" t="s">
        <v>2735</v>
      </c>
      <c r="E1117" s="7" t="s">
        <v>577</v>
      </c>
      <c r="F1117" s="14" t="s">
        <v>21</v>
      </c>
      <c r="G1117" s="19" t="s">
        <v>1045</v>
      </c>
      <c r="H1117" s="12" t="s">
        <v>717</v>
      </c>
      <c r="I1117" s="7" t="s">
        <v>2736</v>
      </c>
      <c r="K1117" s="14" t="s">
        <v>578</v>
      </c>
      <c r="L1117" s="7" t="s">
        <v>579</v>
      </c>
      <c r="M1117" s="7" t="s">
        <v>1055</v>
      </c>
      <c r="N1117" s="7" t="s">
        <v>585</v>
      </c>
    </row>
    <row r="1118">
      <c r="A1118" s="27">
        <v>46060.0</v>
      </c>
      <c r="B1118" s="7" t="s">
        <v>2737</v>
      </c>
      <c r="C1118" s="21">
        <f>+5493484453768</f>
        <v>5493484453768</v>
      </c>
      <c r="D1118" s="7" t="s">
        <v>2738</v>
      </c>
      <c r="E1118" s="7" t="s">
        <v>577</v>
      </c>
      <c r="F1118" s="14" t="s">
        <v>21</v>
      </c>
      <c r="G1118" s="28" t="s">
        <v>25</v>
      </c>
      <c r="H1118" s="12" t="s">
        <v>717</v>
      </c>
      <c r="I1118" s="7" t="s">
        <v>2739</v>
      </c>
      <c r="K1118" s="14" t="s">
        <v>578</v>
      </c>
      <c r="L1118" s="7" t="s">
        <v>584</v>
      </c>
      <c r="M1118" s="7" t="s">
        <v>580</v>
      </c>
      <c r="N1118" s="7" t="s">
        <v>581</v>
      </c>
    </row>
    <row r="1119">
      <c r="A1119" s="27">
        <v>46060.0</v>
      </c>
      <c r="B1119" s="7" t="s">
        <v>2740</v>
      </c>
      <c r="C1119" s="21">
        <f>+542494512669</f>
        <v>542494512669</v>
      </c>
      <c r="D1119" s="7" t="s">
        <v>2741</v>
      </c>
      <c r="E1119" s="14" t="s">
        <v>16</v>
      </c>
      <c r="F1119" s="14" t="s">
        <v>21</v>
      </c>
      <c r="G1119" s="28" t="s">
        <v>25</v>
      </c>
      <c r="H1119" s="12" t="s">
        <v>717</v>
      </c>
      <c r="I1119" s="7" t="s">
        <v>2742</v>
      </c>
      <c r="K1119" s="14" t="s">
        <v>578</v>
      </c>
      <c r="L1119" s="7" t="s">
        <v>579</v>
      </c>
      <c r="M1119" s="7" t="s">
        <v>1055</v>
      </c>
      <c r="N1119" s="7" t="s">
        <v>585</v>
      </c>
    </row>
    <row r="1120">
      <c r="A1120" s="27">
        <v>46060.0</v>
      </c>
      <c r="B1120" s="7" t="s">
        <v>2743</v>
      </c>
      <c r="C1120" s="21">
        <f>+541170591321</f>
        <v>541170591321</v>
      </c>
      <c r="D1120" s="7" t="s">
        <v>2744</v>
      </c>
      <c r="E1120" s="14" t="s">
        <v>24</v>
      </c>
      <c r="F1120" s="14" t="s">
        <v>21</v>
      </c>
      <c r="G1120" s="28" t="s">
        <v>25</v>
      </c>
      <c r="H1120" s="12" t="s">
        <v>717</v>
      </c>
      <c r="I1120" s="7" t="s">
        <v>2154</v>
      </c>
      <c r="K1120" s="14" t="s">
        <v>578</v>
      </c>
      <c r="L1120" s="7" t="s">
        <v>584</v>
      </c>
      <c r="M1120" s="7" t="s">
        <v>580</v>
      </c>
      <c r="N1120" s="7" t="s">
        <v>585</v>
      </c>
    </row>
    <row r="1121">
      <c r="A1121" s="27">
        <v>46060.0</v>
      </c>
      <c r="B1121" s="7" t="s">
        <v>2745</v>
      </c>
      <c r="C1121" s="21">
        <f>+542914379918</f>
        <v>542914379918</v>
      </c>
      <c r="D1121" s="7" t="s">
        <v>2746</v>
      </c>
      <c r="E1121" s="14" t="s">
        <v>24</v>
      </c>
      <c r="F1121" s="14" t="s">
        <v>21</v>
      </c>
      <c r="G1121" s="28" t="s">
        <v>25</v>
      </c>
      <c r="H1121" s="12" t="s">
        <v>717</v>
      </c>
      <c r="I1121" s="7" t="s">
        <v>2366</v>
      </c>
      <c r="K1121" s="14" t="s">
        <v>578</v>
      </c>
      <c r="L1121" s="7" t="s">
        <v>579</v>
      </c>
      <c r="M1121" s="7" t="s">
        <v>1055</v>
      </c>
      <c r="N1121" s="7" t="s">
        <v>585</v>
      </c>
    </row>
    <row r="1122">
      <c r="A1122" s="27">
        <v>46060.0</v>
      </c>
      <c r="B1122" s="7" t="s">
        <v>2747</v>
      </c>
      <c r="C1122" s="21">
        <f>+5492994573827</f>
        <v>5492994573827</v>
      </c>
      <c r="D1122" s="7" t="s">
        <v>2748</v>
      </c>
      <c r="E1122" s="7" t="s">
        <v>577</v>
      </c>
      <c r="F1122" s="14" t="s">
        <v>21</v>
      </c>
      <c r="G1122" s="28" t="s">
        <v>25</v>
      </c>
      <c r="H1122" s="12" t="s">
        <v>717</v>
      </c>
      <c r="I1122" s="7" t="s">
        <v>2749</v>
      </c>
      <c r="K1122" s="14" t="s">
        <v>578</v>
      </c>
      <c r="L1122" s="7" t="s">
        <v>579</v>
      </c>
      <c r="M1122" s="7" t="s">
        <v>1055</v>
      </c>
      <c r="N1122" s="7" t="s">
        <v>585</v>
      </c>
    </row>
    <row r="1123">
      <c r="A1123" s="27">
        <v>46061.0</v>
      </c>
      <c r="B1123" s="7" t="s">
        <v>2750</v>
      </c>
      <c r="C1123" s="21">
        <f>+5491125512341</f>
        <v>5491125512341</v>
      </c>
      <c r="D1123" s="7" t="s">
        <v>2751</v>
      </c>
      <c r="E1123" s="14" t="s">
        <v>24</v>
      </c>
      <c r="F1123" s="14" t="s">
        <v>21</v>
      </c>
      <c r="G1123" s="28" t="s">
        <v>25</v>
      </c>
      <c r="H1123" s="12" t="s">
        <v>717</v>
      </c>
      <c r="I1123" s="7" t="s">
        <v>718</v>
      </c>
      <c r="K1123" s="14" t="s">
        <v>578</v>
      </c>
      <c r="L1123" s="7" t="s">
        <v>584</v>
      </c>
      <c r="M1123" s="7" t="s">
        <v>580</v>
      </c>
      <c r="N1123" s="7" t="s">
        <v>585</v>
      </c>
    </row>
    <row r="1124">
      <c r="A1124" s="27">
        <v>46061.0</v>
      </c>
      <c r="B1124" s="7" t="s">
        <v>2752</v>
      </c>
      <c r="C1124" s="21">
        <f>+541155238536</f>
        <v>541155238536</v>
      </c>
      <c r="D1124" s="7" t="s">
        <v>2753</v>
      </c>
      <c r="E1124" s="7" t="s">
        <v>577</v>
      </c>
      <c r="F1124" s="14" t="s">
        <v>21</v>
      </c>
      <c r="G1124" s="28" t="s">
        <v>25</v>
      </c>
      <c r="H1124" s="12" t="s">
        <v>717</v>
      </c>
      <c r="I1124" s="7" t="s">
        <v>2754</v>
      </c>
      <c r="K1124" s="14" t="s">
        <v>578</v>
      </c>
      <c r="L1124" s="7" t="s">
        <v>584</v>
      </c>
      <c r="M1124" s="7" t="s">
        <v>580</v>
      </c>
      <c r="N1124" s="7" t="s">
        <v>585</v>
      </c>
    </row>
    <row r="1125">
      <c r="A1125" s="27">
        <v>46061.0</v>
      </c>
      <c r="B1125" s="7" t="s">
        <v>2755</v>
      </c>
      <c r="C1125" s="21">
        <f>+541154927641</f>
        <v>541154927641</v>
      </c>
      <c r="D1125" s="7" t="s">
        <v>2756</v>
      </c>
      <c r="E1125" s="7" t="s">
        <v>577</v>
      </c>
      <c r="F1125" s="14" t="s">
        <v>21</v>
      </c>
      <c r="G1125" s="14" t="s">
        <v>18</v>
      </c>
      <c r="H1125" s="12" t="s">
        <v>740</v>
      </c>
      <c r="I1125" s="7" t="s">
        <v>2757</v>
      </c>
      <c r="K1125" s="14" t="s">
        <v>578</v>
      </c>
      <c r="L1125" s="7" t="s">
        <v>584</v>
      </c>
      <c r="M1125" s="7" t="s">
        <v>580</v>
      </c>
      <c r="N1125" s="7" t="s">
        <v>585</v>
      </c>
    </row>
    <row r="1126">
      <c r="A1126" s="27">
        <v>46061.0</v>
      </c>
      <c r="B1126" s="7" t="s">
        <v>2758</v>
      </c>
      <c r="C1126" s="21">
        <f>+541169422265</f>
        <v>541169422265</v>
      </c>
      <c r="D1126" s="7" t="s">
        <v>2759</v>
      </c>
      <c r="E1126" s="7" t="s">
        <v>577</v>
      </c>
      <c r="F1126" s="14" t="s">
        <v>21</v>
      </c>
      <c r="G1126" s="28" t="s">
        <v>25</v>
      </c>
      <c r="H1126" s="12" t="s">
        <v>717</v>
      </c>
      <c r="I1126" s="7" t="s">
        <v>756</v>
      </c>
      <c r="K1126" s="14" t="s">
        <v>578</v>
      </c>
      <c r="L1126" s="7" t="s">
        <v>584</v>
      </c>
      <c r="M1126" s="7" t="s">
        <v>580</v>
      </c>
      <c r="N1126" s="7" t="s">
        <v>581</v>
      </c>
    </row>
    <row r="1127">
      <c r="A1127" s="27">
        <v>46061.0</v>
      </c>
      <c r="B1127" s="7" t="s">
        <v>2760</v>
      </c>
      <c r="C1127" s="21">
        <f>+541141784923</f>
        <v>541141784923</v>
      </c>
      <c r="D1127" s="7" t="s">
        <v>2761</v>
      </c>
      <c r="E1127" s="14" t="s">
        <v>24</v>
      </c>
      <c r="F1127" s="14" t="s">
        <v>21</v>
      </c>
      <c r="G1127" s="28" t="s">
        <v>25</v>
      </c>
      <c r="H1127" s="12" t="s">
        <v>717</v>
      </c>
      <c r="I1127" s="7" t="s">
        <v>2762</v>
      </c>
      <c r="K1127" s="14" t="s">
        <v>578</v>
      </c>
      <c r="L1127" s="7" t="s">
        <v>584</v>
      </c>
      <c r="M1127" s="7" t="s">
        <v>580</v>
      </c>
      <c r="N1127" s="7" t="s">
        <v>585</v>
      </c>
    </row>
    <row r="1128">
      <c r="A1128" s="27">
        <v>46061.0</v>
      </c>
      <c r="B1128" s="7" t="s">
        <v>805</v>
      </c>
      <c r="C1128" s="21">
        <f>+541139014454</f>
        <v>541139014454</v>
      </c>
      <c r="D1128" s="7" t="s">
        <v>2763</v>
      </c>
      <c r="E1128" s="14" t="s">
        <v>24</v>
      </c>
      <c r="F1128" s="14" t="s">
        <v>21</v>
      </c>
      <c r="G1128" s="28" t="s">
        <v>25</v>
      </c>
      <c r="H1128" s="12" t="s">
        <v>717</v>
      </c>
      <c r="I1128" s="7" t="s">
        <v>2764</v>
      </c>
      <c r="K1128" s="14" t="s">
        <v>578</v>
      </c>
      <c r="L1128" s="7" t="s">
        <v>584</v>
      </c>
      <c r="M1128" s="7" t="s">
        <v>580</v>
      </c>
      <c r="N1128" s="7" t="s">
        <v>585</v>
      </c>
    </row>
    <row r="1129">
      <c r="A1129" s="27">
        <v>46061.0</v>
      </c>
      <c r="B1129" s="7" t="s">
        <v>2765</v>
      </c>
      <c r="C1129" s="21">
        <f>+541166317860</f>
        <v>541166317860</v>
      </c>
      <c r="D1129" s="7" t="s">
        <v>2766</v>
      </c>
      <c r="E1129" s="7" t="s">
        <v>577</v>
      </c>
      <c r="F1129" s="14" t="s">
        <v>21</v>
      </c>
      <c r="G1129" s="28" t="s">
        <v>25</v>
      </c>
      <c r="H1129" s="12" t="s">
        <v>740</v>
      </c>
      <c r="I1129" s="7" t="s">
        <v>2767</v>
      </c>
      <c r="K1129" s="14" t="s">
        <v>578</v>
      </c>
      <c r="L1129" s="7" t="s">
        <v>584</v>
      </c>
      <c r="M1129" s="7" t="s">
        <v>580</v>
      </c>
      <c r="N1129" s="7" t="s">
        <v>581</v>
      </c>
    </row>
    <row r="1130">
      <c r="A1130" s="27">
        <v>46062.0</v>
      </c>
      <c r="B1130" s="7" t="s">
        <v>2768</v>
      </c>
      <c r="C1130" s="21">
        <f>+541124023140</f>
        <v>541124023140</v>
      </c>
      <c r="D1130" s="7" t="s">
        <v>2769</v>
      </c>
      <c r="E1130" s="14" t="s">
        <v>24</v>
      </c>
      <c r="F1130" s="14" t="s">
        <v>21</v>
      </c>
      <c r="G1130" s="28" t="s">
        <v>25</v>
      </c>
      <c r="H1130" s="12" t="s">
        <v>717</v>
      </c>
      <c r="I1130" s="7" t="s">
        <v>2770</v>
      </c>
      <c r="K1130" s="14" t="s">
        <v>578</v>
      </c>
      <c r="L1130" s="7" t="s">
        <v>584</v>
      </c>
      <c r="M1130" s="7" t="s">
        <v>1055</v>
      </c>
      <c r="N1130" s="7" t="s">
        <v>581</v>
      </c>
    </row>
    <row r="1131">
      <c r="A1131" s="27">
        <v>46062.0</v>
      </c>
      <c r="B1131" s="7" t="s">
        <v>2771</v>
      </c>
      <c r="C1131" s="21">
        <f>+542984325106</f>
        <v>542984325106</v>
      </c>
      <c r="D1131" s="7" t="s">
        <v>2772</v>
      </c>
      <c r="E1131" s="14" t="s">
        <v>16</v>
      </c>
      <c r="F1131" s="14" t="s">
        <v>32</v>
      </c>
      <c r="G1131" s="14" t="s">
        <v>18</v>
      </c>
      <c r="H1131" s="12" t="s">
        <v>727</v>
      </c>
      <c r="I1131" s="7" t="s">
        <v>2773</v>
      </c>
      <c r="K1131" s="14" t="s">
        <v>578</v>
      </c>
      <c r="L1131" s="7" t="s">
        <v>579</v>
      </c>
      <c r="M1131" s="7" t="s">
        <v>1055</v>
      </c>
      <c r="N1131" s="7" t="s">
        <v>585</v>
      </c>
    </row>
    <row r="1132">
      <c r="A1132" s="27">
        <v>46062.0</v>
      </c>
      <c r="B1132" s="7" t="s">
        <v>2774</v>
      </c>
      <c r="C1132" s="21">
        <f>+543625283858</f>
        <v>543625283858</v>
      </c>
      <c r="D1132" s="7" t="s">
        <v>2775</v>
      </c>
      <c r="E1132" s="14" t="s">
        <v>24</v>
      </c>
      <c r="F1132" s="14" t="s">
        <v>21</v>
      </c>
      <c r="G1132" s="28" t="s">
        <v>25</v>
      </c>
      <c r="H1132" s="12" t="s">
        <v>717</v>
      </c>
      <c r="I1132" s="7" t="s">
        <v>2776</v>
      </c>
      <c r="K1132" s="14" t="s">
        <v>578</v>
      </c>
      <c r="L1132" s="7" t="s">
        <v>579</v>
      </c>
      <c r="M1132" s="7" t="s">
        <v>1055</v>
      </c>
      <c r="N1132" s="7" t="s">
        <v>581</v>
      </c>
    </row>
    <row r="1133">
      <c r="A1133" s="27">
        <v>46062.0</v>
      </c>
      <c r="B1133" s="7" t="s">
        <v>2777</v>
      </c>
      <c r="C1133" s="21">
        <f>+542954670490</f>
        <v>542954670490</v>
      </c>
      <c r="D1133" s="7" t="s">
        <v>2778</v>
      </c>
      <c r="E1133" s="7" t="s">
        <v>577</v>
      </c>
      <c r="F1133" s="12" t="s">
        <v>17</v>
      </c>
      <c r="G1133" s="28" t="s">
        <v>25</v>
      </c>
      <c r="H1133" s="12" t="s">
        <v>727</v>
      </c>
      <c r="I1133" s="7" t="s">
        <v>756</v>
      </c>
      <c r="K1133" s="14" t="s">
        <v>578</v>
      </c>
      <c r="L1133" s="7" t="s">
        <v>579</v>
      </c>
      <c r="M1133" s="7" t="s">
        <v>1055</v>
      </c>
      <c r="N1133" s="7" t="s">
        <v>581</v>
      </c>
    </row>
    <row r="1134">
      <c r="A1134" s="27">
        <v>46062.0</v>
      </c>
      <c r="B1134" s="7" t="s">
        <v>2779</v>
      </c>
      <c r="C1134" s="21">
        <f>+541158135012</f>
        <v>541158135012</v>
      </c>
      <c r="D1134" s="7" t="s">
        <v>2780</v>
      </c>
      <c r="E1134" s="14" t="s">
        <v>16</v>
      </c>
      <c r="F1134" s="14" t="s">
        <v>21</v>
      </c>
      <c r="G1134" s="28" t="s">
        <v>25</v>
      </c>
      <c r="H1134" s="12" t="s">
        <v>727</v>
      </c>
      <c r="I1134" s="7" t="s">
        <v>2781</v>
      </c>
      <c r="K1134" s="14" t="s">
        <v>578</v>
      </c>
      <c r="L1134" s="7" t="s">
        <v>584</v>
      </c>
      <c r="M1134" s="7" t="s">
        <v>1055</v>
      </c>
      <c r="N1134" s="7" t="s">
        <v>585</v>
      </c>
    </row>
    <row r="1135">
      <c r="A1135" s="27">
        <v>46062.0</v>
      </c>
      <c r="B1135" s="7" t="s">
        <v>2782</v>
      </c>
      <c r="C1135" s="21">
        <f>+542945680735</f>
        <v>542945680735</v>
      </c>
      <c r="D1135" s="7" t="s">
        <v>2783</v>
      </c>
      <c r="E1135" s="7" t="s">
        <v>577</v>
      </c>
      <c r="F1135" s="14" t="s">
        <v>21</v>
      </c>
      <c r="G1135" s="28" t="s">
        <v>25</v>
      </c>
      <c r="H1135" s="12" t="s">
        <v>717</v>
      </c>
      <c r="I1135" s="7" t="s">
        <v>2784</v>
      </c>
      <c r="K1135" s="14" t="s">
        <v>578</v>
      </c>
      <c r="L1135" s="7" t="s">
        <v>579</v>
      </c>
      <c r="M1135" s="7" t="s">
        <v>1055</v>
      </c>
      <c r="N1135" s="7" t="s">
        <v>581</v>
      </c>
    </row>
    <row r="1136">
      <c r="A1136" s="27">
        <v>46062.0</v>
      </c>
      <c r="B1136" s="7" t="s">
        <v>2635</v>
      </c>
      <c r="C1136" s="21">
        <f>+543425124832</f>
        <v>543425124832</v>
      </c>
      <c r="D1136" s="7" t="s">
        <v>2785</v>
      </c>
      <c r="E1136" s="14" t="s">
        <v>16</v>
      </c>
      <c r="F1136" s="14" t="s">
        <v>21</v>
      </c>
      <c r="G1136" s="14" t="s">
        <v>18</v>
      </c>
      <c r="H1136" s="12" t="s">
        <v>727</v>
      </c>
      <c r="I1136" s="7" t="s">
        <v>2786</v>
      </c>
      <c r="K1136" s="14" t="s">
        <v>578</v>
      </c>
      <c r="L1136" s="7" t="s">
        <v>579</v>
      </c>
      <c r="M1136" s="7" t="s">
        <v>1055</v>
      </c>
      <c r="N1136" s="7" t="s">
        <v>585</v>
      </c>
    </row>
    <row r="1137">
      <c r="A1137" s="27">
        <v>46062.0</v>
      </c>
      <c r="B1137" s="7" t="s">
        <v>2787</v>
      </c>
      <c r="C1137" s="21">
        <f>+542995688850</f>
        <v>542995688850</v>
      </c>
      <c r="D1137" s="7" t="s">
        <v>2788</v>
      </c>
      <c r="E1137" s="7" t="s">
        <v>577</v>
      </c>
      <c r="F1137" s="14" t="s">
        <v>21</v>
      </c>
      <c r="G1137" s="28" t="s">
        <v>25</v>
      </c>
      <c r="H1137" s="12" t="s">
        <v>717</v>
      </c>
      <c r="I1137" s="7" t="s">
        <v>2789</v>
      </c>
      <c r="K1137" s="14" t="s">
        <v>578</v>
      </c>
      <c r="L1137" s="7" t="s">
        <v>579</v>
      </c>
      <c r="M1137" s="7" t="s">
        <v>1055</v>
      </c>
      <c r="N1137" s="7" t="s">
        <v>585</v>
      </c>
    </row>
    <row r="1138">
      <c r="A1138" s="27">
        <v>46062.0</v>
      </c>
      <c r="B1138" s="7" t="s">
        <v>2790</v>
      </c>
      <c r="C1138" s="23">
        <v>3.515631419E9</v>
      </c>
      <c r="D1138" s="7" t="s">
        <v>2791</v>
      </c>
      <c r="E1138" s="14" t="s">
        <v>16</v>
      </c>
      <c r="F1138" s="12" t="s">
        <v>17</v>
      </c>
      <c r="G1138" s="19" t="s">
        <v>1045</v>
      </c>
      <c r="H1138" s="12" t="s">
        <v>745</v>
      </c>
      <c r="I1138" s="7" t="s">
        <v>2792</v>
      </c>
      <c r="K1138" s="14" t="s">
        <v>578</v>
      </c>
      <c r="L1138" s="7" t="s">
        <v>584</v>
      </c>
      <c r="M1138" s="7" t="s">
        <v>1055</v>
      </c>
      <c r="N1138" s="7" t="s">
        <v>585</v>
      </c>
    </row>
    <row r="1139">
      <c r="A1139" s="27">
        <v>46062.0</v>
      </c>
      <c r="B1139" s="7" t="s">
        <v>2793</v>
      </c>
      <c r="C1139" s="21">
        <f>+543513518427</f>
        <v>543513518427</v>
      </c>
      <c r="D1139" s="7" t="s">
        <v>2794</v>
      </c>
      <c r="E1139" s="7" t="s">
        <v>577</v>
      </c>
      <c r="F1139" s="14" t="s">
        <v>21</v>
      </c>
      <c r="G1139" s="28" t="s">
        <v>25</v>
      </c>
      <c r="H1139" s="12" t="s">
        <v>727</v>
      </c>
      <c r="I1139" s="7" t="s">
        <v>1206</v>
      </c>
      <c r="K1139" s="14" t="s">
        <v>578</v>
      </c>
      <c r="L1139" s="7" t="s">
        <v>579</v>
      </c>
      <c r="M1139" s="7" t="s">
        <v>1386</v>
      </c>
      <c r="N1139" s="7" t="s">
        <v>581</v>
      </c>
    </row>
    <row r="1140">
      <c r="A1140" s="27">
        <v>46062.0</v>
      </c>
      <c r="B1140" s="7" t="s">
        <v>2795</v>
      </c>
      <c r="C1140" s="21">
        <f>+542915756359</f>
        <v>542915756359</v>
      </c>
      <c r="D1140" s="7" t="s">
        <v>2796</v>
      </c>
      <c r="E1140" s="14" t="s">
        <v>16</v>
      </c>
      <c r="F1140" s="14" t="s">
        <v>21</v>
      </c>
      <c r="G1140" s="28" t="s">
        <v>25</v>
      </c>
      <c r="H1140" s="12" t="s">
        <v>717</v>
      </c>
      <c r="I1140" s="7" t="s">
        <v>2797</v>
      </c>
      <c r="K1140" s="14" t="s">
        <v>578</v>
      </c>
      <c r="L1140" s="7" t="s">
        <v>579</v>
      </c>
      <c r="M1140" s="7" t="s">
        <v>624</v>
      </c>
      <c r="N1140" s="7" t="s">
        <v>585</v>
      </c>
    </row>
    <row r="1141">
      <c r="A1141" s="27">
        <v>46062.0</v>
      </c>
      <c r="B1141" s="7" t="s">
        <v>2798</v>
      </c>
      <c r="C1141" s="23">
        <v>1.130462422E9</v>
      </c>
      <c r="D1141" s="7" t="s">
        <v>2799</v>
      </c>
      <c r="E1141" s="14" t="s">
        <v>16</v>
      </c>
      <c r="F1141" s="14" t="s">
        <v>21</v>
      </c>
      <c r="G1141" s="14" t="s">
        <v>18</v>
      </c>
      <c r="H1141" s="12" t="s">
        <v>745</v>
      </c>
      <c r="I1141" s="7" t="s">
        <v>2800</v>
      </c>
      <c r="K1141" s="14" t="s">
        <v>578</v>
      </c>
      <c r="L1141" s="7" t="s">
        <v>584</v>
      </c>
      <c r="M1141" s="7" t="s">
        <v>624</v>
      </c>
      <c r="N1141" s="7" t="s">
        <v>585</v>
      </c>
    </row>
    <row r="1142">
      <c r="A1142" s="27">
        <v>46063.0</v>
      </c>
      <c r="B1142" s="7" t="s">
        <v>2801</v>
      </c>
      <c r="C1142" s="21">
        <f>+541154825117</f>
        <v>541154825117</v>
      </c>
      <c r="D1142" s="7" t="s">
        <v>2802</v>
      </c>
      <c r="E1142" s="14" t="s">
        <v>24</v>
      </c>
      <c r="F1142" s="12" t="s">
        <v>17</v>
      </c>
      <c r="G1142" s="28" t="s">
        <v>25</v>
      </c>
      <c r="H1142" s="12" t="s">
        <v>717</v>
      </c>
      <c r="I1142" s="7" t="s">
        <v>718</v>
      </c>
      <c r="K1142" s="14" t="s">
        <v>578</v>
      </c>
      <c r="L1142" s="7" t="s">
        <v>584</v>
      </c>
      <c r="M1142" s="7" t="s">
        <v>1055</v>
      </c>
      <c r="N1142" s="7" t="s">
        <v>585</v>
      </c>
    </row>
    <row r="1143">
      <c r="A1143" s="27">
        <v>46063.0</v>
      </c>
      <c r="B1143" s="7" t="s">
        <v>2803</v>
      </c>
      <c r="C1143" s="21">
        <f>+541130558883</f>
        <v>541130558883</v>
      </c>
      <c r="D1143" s="7" t="s">
        <v>2804</v>
      </c>
      <c r="E1143" s="14" t="s">
        <v>24</v>
      </c>
      <c r="F1143" s="14" t="s">
        <v>21</v>
      </c>
      <c r="G1143" s="28" t="s">
        <v>25</v>
      </c>
      <c r="H1143" s="12" t="s">
        <v>717</v>
      </c>
      <c r="I1143" s="7" t="s">
        <v>2805</v>
      </c>
      <c r="K1143" s="14" t="s">
        <v>578</v>
      </c>
      <c r="L1143" s="7" t="s">
        <v>584</v>
      </c>
      <c r="M1143" s="7" t="s">
        <v>1055</v>
      </c>
      <c r="N1143" s="7" t="s">
        <v>585</v>
      </c>
    </row>
    <row r="1144">
      <c r="A1144" s="27">
        <v>46063.0</v>
      </c>
      <c r="B1144" s="7" t="s">
        <v>2806</v>
      </c>
      <c r="C1144" s="23">
        <v>2.213107693E9</v>
      </c>
      <c r="D1144" s="7" t="s">
        <v>2807</v>
      </c>
      <c r="E1144" s="14" t="s">
        <v>24</v>
      </c>
      <c r="F1144" s="14" t="s">
        <v>21</v>
      </c>
      <c r="G1144" s="14" t="s">
        <v>18</v>
      </c>
      <c r="H1144" s="12" t="s">
        <v>717</v>
      </c>
      <c r="I1144" s="7" t="s">
        <v>885</v>
      </c>
      <c r="K1144" s="14" t="s">
        <v>578</v>
      </c>
      <c r="L1144" s="7" t="s">
        <v>579</v>
      </c>
      <c r="M1144" s="7" t="s">
        <v>610</v>
      </c>
      <c r="N1144" s="7" t="s">
        <v>585</v>
      </c>
    </row>
    <row r="1145">
      <c r="A1145" s="27">
        <v>46063.0</v>
      </c>
      <c r="B1145" s="7" t="s">
        <v>2808</v>
      </c>
      <c r="C1145" s="21">
        <f>+541170634326</f>
        <v>541170634326</v>
      </c>
      <c r="D1145" s="7" t="s">
        <v>2809</v>
      </c>
      <c r="E1145" s="14" t="s">
        <v>16</v>
      </c>
      <c r="F1145" s="14" t="s">
        <v>21</v>
      </c>
      <c r="G1145" s="28" t="s">
        <v>25</v>
      </c>
      <c r="H1145" s="12" t="s">
        <v>717</v>
      </c>
      <c r="I1145" s="7" t="s">
        <v>2810</v>
      </c>
      <c r="K1145" s="14" t="s">
        <v>578</v>
      </c>
      <c r="L1145" s="7" t="s">
        <v>584</v>
      </c>
      <c r="M1145" s="7" t="s">
        <v>1055</v>
      </c>
      <c r="N1145" s="7" t="s">
        <v>581</v>
      </c>
    </row>
    <row r="1146">
      <c r="A1146" s="27">
        <v>46063.0</v>
      </c>
      <c r="B1146" s="7" t="s">
        <v>2811</v>
      </c>
      <c r="C1146" s="21">
        <f>+543624232354</f>
        <v>543624232354</v>
      </c>
      <c r="D1146" s="7" t="s">
        <v>2812</v>
      </c>
      <c r="E1146" s="7" t="s">
        <v>577</v>
      </c>
      <c r="F1146" s="14" t="s">
        <v>21</v>
      </c>
      <c r="G1146" s="28" t="s">
        <v>25</v>
      </c>
      <c r="H1146" s="12" t="s">
        <v>717</v>
      </c>
      <c r="I1146" s="7" t="s">
        <v>2680</v>
      </c>
      <c r="K1146" s="14" t="s">
        <v>578</v>
      </c>
      <c r="L1146" s="7" t="s">
        <v>579</v>
      </c>
      <c r="M1146" s="7" t="s">
        <v>1055</v>
      </c>
      <c r="N1146" s="7" t="s">
        <v>581</v>
      </c>
    </row>
    <row r="1147">
      <c r="A1147" s="27">
        <v>46064.0</v>
      </c>
      <c r="B1147" s="7" t="s">
        <v>2813</v>
      </c>
      <c r="C1147" s="23">
        <v>3.515193908E9</v>
      </c>
      <c r="D1147" s="7" t="s">
        <v>2814</v>
      </c>
      <c r="E1147" s="14" t="s">
        <v>24</v>
      </c>
      <c r="F1147" s="14" t="s">
        <v>21</v>
      </c>
      <c r="G1147" s="28" t="s">
        <v>25</v>
      </c>
      <c r="H1147" s="12" t="s">
        <v>717</v>
      </c>
      <c r="I1147" s="7" t="s">
        <v>2815</v>
      </c>
      <c r="K1147" s="14" t="s">
        <v>578</v>
      </c>
      <c r="L1147" s="7" t="s">
        <v>579</v>
      </c>
      <c r="M1147" s="7" t="s">
        <v>1055</v>
      </c>
      <c r="N1147" s="7" t="s">
        <v>585</v>
      </c>
    </row>
    <row r="1148">
      <c r="A1148" s="27">
        <v>46064.0</v>
      </c>
      <c r="B1148" s="7" t="s">
        <v>2816</v>
      </c>
      <c r="C1148" s="21">
        <f>+543735612996</f>
        <v>543735612996</v>
      </c>
      <c r="D1148" s="7" t="s">
        <v>2817</v>
      </c>
      <c r="E1148" s="14" t="s">
        <v>16</v>
      </c>
      <c r="F1148" s="12" t="s">
        <v>17</v>
      </c>
      <c r="G1148" s="28" t="s">
        <v>25</v>
      </c>
      <c r="H1148" s="12" t="s">
        <v>740</v>
      </c>
      <c r="I1148" s="7" t="s">
        <v>1005</v>
      </c>
      <c r="K1148" s="14" t="s">
        <v>578</v>
      </c>
      <c r="L1148" s="7" t="s">
        <v>579</v>
      </c>
      <c r="M1148" s="7" t="s">
        <v>1055</v>
      </c>
      <c r="N1148" s="7" t="s">
        <v>581</v>
      </c>
    </row>
    <row r="1149">
      <c r="A1149" s="27">
        <v>46064.0</v>
      </c>
      <c r="B1149" s="7" t="s">
        <v>2818</v>
      </c>
      <c r="C1149" s="21">
        <f>+541164057172</f>
        <v>541164057172</v>
      </c>
      <c r="D1149" s="7" t="s">
        <v>2819</v>
      </c>
      <c r="E1149" s="14" t="s">
        <v>24</v>
      </c>
      <c r="F1149" s="14" t="s">
        <v>21</v>
      </c>
      <c r="G1149" s="19" t="s">
        <v>1045</v>
      </c>
      <c r="H1149" s="12" t="s">
        <v>717</v>
      </c>
      <c r="I1149" s="7" t="s">
        <v>2820</v>
      </c>
      <c r="K1149" s="14" t="s">
        <v>578</v>
      </c>
      <c r="L1149" s="7" t="s">
        <v>584</v>
      </c>
      <c r="M1149" s="7" t="s">
        <v>1055</v>
      </c>
      <c r="N1149" s="7" t="s">
        <v>581</v>
      </c>
    </row>
    <row r="1150">
      <c r="A1150" s="27">
        <v>46064.0</v>
      </c>
      <c r="B1150" s="7" t="s">
        <v>2821</v>
      </c>
      <c r="C1150" s="21">
        <f>+541169980779</f>
        <v>541169980779</v>
      </c>
      <c r="D1150" s="7" t="s">
        <v>2822</v>
      </c>
      <c r="E1150" s="14" t="s">
        <v>24</v>
      </c>
      <c r="F1150" s="14" t="s">
        <v>21</v>
      </c>
      <c r="G1150" s="28" t="s">
        <v>25</v>
      </c>
      <c r="H1150" s="12" t="s">
        <v>740</v>
      </c>
      <c r="I1150" s="7" t="s">
        <v>2823</v>
      </c>
      <c r="K1150" s="14" t="s">
        <v>578</v>
      </c>
      <c r="L1150" s="7" t="s">
        <v>584</v>
      </c>
      <c r="M1150" s="7" t="s">
        <v>1055</v>
      </c>
      <c r="N1150" s="7" t="s">
        <v>585</v>
      </c>
    </row>
    <row r="1151">
      <c r="A1151" s="27">
        <v>46064.0</v>
      </c>
      <c r="B1151" s="7" t="s">
        <v>2824</v>
      </c>
      <c r="C1151" s="23">
        <v>3.794397934E9</v>
      </c>
      <c r="D1151" s="7" t="s">
        <v>2825</v>
      </c>
      <c r="E1151" s="14" t="s">
        <v>16</v>
      </c>
      <c r="F1151" s="14" t="s">
        <v>21</v>
      </c>
      <c r="G1151" s="28" t="s">
        <v>25</v>
      </c>
      <c r="H1151" s="12" t="s">
        <v>717</v>
      </c>
      <c r="I1151" s="7" t="s">
        <v>2826</v>
      </c>
      <c r="K1151" s="14" t="s">
        <v>578</v>
      </c>
      <c r="L1151" s="7" t="s">
        <v>579</v>
      </c>
      <c r="M1151" s="7" t="s">
        <v>1055</v>
      </c>
      <c r="N1151" s="7" t="s">
        <v>585</v>
      </c>
    </row>
    <row r="1152">
      <c r="A1152" s="27">
        <v>46064.0</v>
      </c>
      <c r="B1152" s="7" t="s">
        <v>2827</v>
      </c>
      <c r="C1152" s="21">
        <f>+543424098755</f>
        <v>543424098755</v>
      </c>
      <c r="D1152" s="7" t="s">
        <v>2828</v>
      </c>
      <c r="E1152" s="14" t="s">
        <v>16</v>
      </c>
      <c r="F1152" s="14" t="s">
        <v>21</v>
      </c>
      <c r="G1152" s="28" t="s">
        <v>25</v>
      </c>
      <c r="H1152" s="12" t="s">
        <v>745</v>
      </c>
      <c r="I1152" s="7" t="s">
        <v>2829</v>
      </c>
      <c r="K1152" s="14" t="s">
        <v>578</v>
      </c>
      <c r="L1152" s="7" t="s">
        <v>579</v>
      </c>
      <c r="M1152" s="7" t="s">
        <v>1055</v>
      </c>
      <c r="N1152" s="7" t="s">
        <v>585</v>
      </c>
    </row>
    <row r="1153">
      <c r="A1153" s="27">
        <v>46064.0</v>
      </c>
      <c r="B1153" s="7" t="s">
        <v>2830</v>
      </c>
      <c r="C1153" s="21">
        <f>+542645185942</f>
        <v>542645185942</v>
      </c>
      <c r="D1153" s="7" t="s">
        <v>2831</v>
      </c>
      <c r="E1153" s="7" t="s">
        <v>577</v>
      </c>
      <c r="F1153" s="14" t="s">
        <v>21</v>
      </c>
      <c r="G1153" s="28" t="s">
        <v>25</v>
      </c>
      <c r="H1153" s="12" t="s">
        <v>717</v>
      </c>
      <c r="I1153" s="7" t="s">
        <v>1005</v>
      </c>
      <c r="K1153" s="14" t="s">
        <v>578</v>
      </c>
      <c r="L1153" s="7" t="s">
        <v>579</v>
      </c>
      <c r="M1153" s="7" t="s">
        <v>1055</v>
      </c>
      <c r="N1153" s="7" t="s">
        <v>585</v>
      </c>
    </row>
    <row r="1154">
      <c r="A1154" s="27">
        <v>46064.0</v>
      </c>
      <c r="B1154" s="7" t="s">
        <v>2832</v>
      </c>
      <c r="C1154" s="21">
        <f>+542994708506</f>
        <v>542994708506</v>
      </c>
      <c r="D1154" s="7" t="s">
        <v>2833</v>
      </c>
      <c r="E1154" s="7" t="s">
        <v>577</v>
      </c>
      <c r="F1154" s="14" t="s">
        <v>21</v>
      </c>
      <c r="G1154" s="19" t="s">
        <v>1045</v>
      </c>
      <c r="H1154" s="12" t="s">
        <v>717</v>
      </c>
      <c r="I1154" s="7" t="s">
        <v>2834</v>
      </c>
      <c r="K1154" s="14" t="s">
        <v>578</v>
      </c>
      <c r="L1154" s="7" t="s">
        <v>579</v>
      </c>
      <c r="M1154" s="7" t="s">
        <v>1055</v>
      </c>
      <c r="N1154" s="7" t="s">
        <v>581</v>
      </c>
    </row>
    <row r="1155">
      <c r="A1155" s="27">
        <v>46064.0</v>
      </c>
      <c r="B1155" s="7" t="s">
        <v>2835</v>
      </c>
      <c r="C1155" s="21">
        <f>+543416199006</f>
        <v>543416199006</v>
      </c>
      <c r="D1155" s="7" t="s">
        <v>2836</v>
      </c>
      <c r="E1155" s="14" t="s">
        <v>24</v>
      </c>
      <c r="F1155" s="14" t="s">
        <v>21</v>
      </c>
      <c r="G1155" s="28" t="s">
        <v>25</v>
      </c>
      <c r="H1155" s="12" t="s">
        <v>717</v>
      </c>
      <c r="I1155" s="7" t="s">
        <v>2837</v>
      </c>
      <c r="K1155" s="14" t="s">
        <v>578</v>
      </c>
      <c r="L1155" s="7" t="s">
        <v>579</v>
      </c>
      <c r="M1155" s="7" t="s">
        <v>1055</v>
      </c>
      <c r="N1155" s="7" t="s">
        <v>585</v>
      </c>
    </row>
    <row r="1156">
      <c r="A1156" s="27">
        <v>46064.0</v>
      </c>
      <c r="B1156" s="7" t="s">
        <v>2838</v>
      </c>
      <c r="C1156" s="21">
        <f>+543424367851</f>
        <v>543424367851</v>
      </c>
      <c r="D1156" s="7" t="s">
        <v>2839</v>
      </c>
      <c r="E1156" s="14" t="s">
        <v>16</v>
      </c>
      <c r="F1156" s="12" t="s">
        <v>17</v>
      </c>
      <c r="G1156" s="28" t="s">
        <v>25</v>
      </c>
      <c r="H1156" s="12" t="s">
        <v>717</v>
      </c>
      <c r="I1156" s="7" t="s">
        <v>756</v>
      </c>
      <c r="K1156" s="14" t="s">
        <v>578</v>
      </c>
      <c r="L1156" s="7" t="s">
        <v>584</v>
      </c>
      <c r="M1156" s="7" t="s">
        <v>1055</v>
      </c>
      <c r="N1156" s="7" t="s">
        <v>581</v>
      </c>
    </row>
    <row r="1157">
      <c r="A1157" s="27">
        <v>46064.0</v>
      </c>
      <c r="B1157" s="7" t="s">
        <v>2840</v>
      </c>
      <c r="C1157" s="23">
        <v>1.160208095E9</v>
      </c>
      <c r="D1157" s="7" t="s">
        <v>2841</v>
      </c>
      <c r="E1157" s="14" t="s">
        <v>24</v>
      </c>
      <c r="F1157" s="14" t="s">
        <v>21</v>
      </c>
      <c r="G1157" s="28" t="s">
        <v>25</v>
      </c>
      <c r="H1157" s="12" t="s">
        <v>740</v>
      </c>
      <c r="I1157" s="7" t="s">
        <v>1289</v>
      </c>
      <c r="K1157" s="14" t="s">
        <v>578</v>
      </c>
      <c r="L1157" s="7" t="s">
        <v>584</v>
      </c>
      <c r="M1157" s="7" t="s">
        <v>1055</v>
      </c>
      <c r="N1157" s="7" t="s">
        <v>585</v>
      </c>
    </row>
    <row r="1158">
      <c r="A1158" s="27">
        <v>46064.0</v>
      </c>
      <c r="B1158" s="7" t="s">
        <v>2842</v>
      </c>
      <c r="C1158" s="21">
        <f>+542645303029</f>
        <v>542645303029</v>
      </c>
      <c r="D1158" s="7" t="s">
        <v>2843</v>
      </c>
      <c r="E1158" s="14" t="s">
        <v>16</v>
      </c>
      <c r="F1158" s="14" t="s">
        <v>21</v>
      </c>
      <c r="G1158" s="28" t="s">
        <v>25</v>
      </c>
      <c r="H1158" s="12" t="s">
        <v>740</v>
      </c>
      <c r="I1158" s="7" t="s">
        <v>972</v>
      </c>
      <c r="K1158" s="14" t="s">
        <v>578</v>
      </c>
      <c r="L1158" s="7" t="s">
        <v>579</v>
      </c>
      <c r="M1158" s="7" t="s">
        <v>610</v>
      </c>
      <c r="N1158" s="7" t="s">
        <v>581</v>
      </c>
    </row>
    <row r="1159">
      <c r="A1159" s="27">
        <v>46065.0</v>
      </c>
      <c r="B1159" s="7" t="s">
        <v>2844</v>
      </c>
      <c r="C1159" s="21">
        <f>+542396511937</f>
        <v>542396511937</v>
      </c>
      <c r="D1159" s="7" t="s">
        <v>2845</v>
      </c>
      <c r="E1159" s="14" t="s">
        <v>24</v>
      </c>
      <c r="F1159" s="14" t="s">
        <v>21</v>
      </c>
      <c r="G1159" s="28" t="s">
        <v>25</v>
      </c>
      <c r="H1159" s="12" t="s">
        <v>717</v>
      </c>
      <c r="I1159" s="7" t="s">
        <v>972</v>
      </c>
      <c r="K1159" s="14" t="s">
        <v>578</v>
      </c>
      <c r="L1159" s="7" t="s">
        <v>579</v>
      </c>
      <c r="M1159" s="7" t="s">
        <v>1055</v>
      </c>
      <c r="N1159" s="7" t="s">
        <v>581</v>
      </c>
    </row>
    <row r="1160">
      <c r="A1160" s="27">
        <v>46065.0</v>
      </c>
      <c r="B1160" s="7" t="s">
        <v>2846</v>
      </c>
      <c r="C1160" s="21">
        <f>+543888568666</f>
        <v>543888568666</v>
      </c>
      <c r="D1160" s="7" t="s">
        <v>2847</v>
      </c>
      <c r="E1160" s="7" t="s">
        <v>577</v>
      </c>
      <c r="F1160" s="14" t="s">
        <v>21</v>
      </c>
      <c r="G1160" s="28" t="s">
        <v>25</v>
      </c>
      <c r="H1160" s="12" t="s">
        <v>717</v>
      </c>
      <c r="I1160" s="7" t="s">
        <v>1289</v>
      </c>
      <c r="K1160" s="14" t="s">
        <v>578</v>
      </c>
      <c r="L1160" s="7" t="s">
        <v>579</v>
      </c>
      <c r="M1160" s="7" t="s">
        <v>610</v>
      </c>
      <c r="N1160" s="7" t="s">
        <v>581</v>
      </c>
    </row>
    <row r="1161">
      <c r="A1161" s="27">
        <v>46065.0</v>
      </c>
      <c r="B1161" s="7" t="s">
        <v>2848</v>
      </c>
      <c r="C1161" s="21">
        <f>+541164525536</f>
        <v>541164525536</v>
      </c>
      <c r="D1161" s="7" t="s">
        <v>2849</v>
      </c>
      <c r="E1161" s="14" t="s">
        <v>24</v>
      </c>
      <c r="F1161" s="14" t="s">
        <v>21</v>
      </c>
      <c r="G1161" s="28" t="s">
        <v>25</v>
      </c>
      <c r="H1161" s="12" t="s">
        <v>717</v>
      </c>
      <c r="I1161" s="7" t="s">
        <v>2850</v>
      </c>
      <c r="K1161" s="14" t="s">
        <v>578</v>
      </c>
      <c r="L1161" s="7" t="s">
        <v>584</v>
      </c>
      <c r="M1161" s="7" t="s">
        <v>1055</v>
      </c>
      <c r="N1161" s="7" t="s">
        <v>585</v>
      </c>
    </row>
    <row r="1162">
      <c r="A1162" s="27">
        <v>46065.0</v>
      </c>
      <c r="B1162" s="7" t="s">
        <v>2851</v>
      </c>
      <c r="C1162" s="23">
        <v>1.121883678E9</v>
      </c>
      <c r="D1162" s="7" t="s">
        <v>2852</v>
      </c>
      <c r="E1162" s="14" t="s">
        <v>24</v>
      </c>
      <c r="F1162" s="14" t="s">
        <v>21</v>
      </c>
      <c r="G1162" s="28" t="s">
        <v>25</v>
      </c>
      <c r="H1162" s="12" t="s">
        <v>717</v>
      </c>
      <c r="I1162" s="7" t="s">
        <v>2400</v>
      </c>
      <c r="K1162" s="14" t="s">
        <v>578</v>
      </c>
      <c r="L1162" s="7" t="s">
        <v>579</v>
      </c>
      <c r="M1162" s="7" t="s">
        <v>1055</v>
      </c>
      <c r="N1162" s="7" t="s">
        <v>585</v>
      </c>
    </row>
    <row r="1163">
      <c r="A1163" s="27">
        <v>46065.0</v>
      </c>
      <c r="B1163" s="7" t="s">
        <v>2853</v>
      </c>
      <c r="C1163" s="21">
        <f>+5493513504392</f>
        <v>5493513504392</v>
      </c>
      <c r="D1163" s="7" t="s">
        <v>2854</v>
      </c>
      <c r="E1163" s="14" t="s">
        <v>16</v>
      </c>
      <c r="F1163" s="14" t="s">
        <v>21</v>
      </c>
      <c r="G1163" s="14" t="s">
        <v>18</v>
      </c>
      <c r="H1163" s="12" t="s">
        <v>717</v>
      </c>
      <c r="I1163" s="7" t="s">
        <v>2855</v>
      </c>
      <c r="K1163" s="14" t="s">
        <v>578</v>
      </c>
      <c r="L1163" s="7" t="s">
        <v>579</v>
      </c>
      <c r="M1163" s="7" t="s">
        <v>610</v>
      </c>
      <c r="N1163" s="7" t="s">
        <v>585</v>
      </c>
    </row>
    <row r="1164">
      <c r="A1164" s="27">
        <v>46065.0</v>
      </c>
      <c r="B1164" s="7" t="s">
        <v>2856</v>
      </c>
      <c r="C1164" s="21">
        <f>+542317416921</f>
        <v>542317416921</v>
      </c>
      <c r="D1164" s="7" t="s">
        <v>2857</v>
      </c>
      <c r="E1164" s="7" t="s">
        <v>577</v>
      </c>
      <c r="F1164" s="14" t="s">
        <v>21</v>
      </c>
      <c r="G1164" s="14" t="s">
        <v>18</v>
      </c>
      <c r="H1164" s="12" t="s">
        <v>745</v>
      </c>
      <c r="I1164" s="7" t="s">
        <v>885</v>
      </c>
      <c r="K1164" s="14" t="s">
        <v>578</v>
      </c>
      <c r="L1164" s="7" t="s">
        <v>579</v>
      </c>
      <c r="M1164" s="7" t="s">
        <v>610</v>
      </c>
      <c r="N1164" s="7" t="s">
        <v>581</v>
      </c>
    </row>
    <row r="1165">
      <c r="A1165" s="27">
        <v>46065.0</v>
      </c>
      <c r="B1165" s="7" t="s">
        <v>2858</v>
      </c>
      <c r="C1165" s="21">
        <f>+543516093809</f>
        <v>543516093809</v>
      </c>
      <c r="D1165" s="7" t="s">
        <v>2859</v>
      </c>
      <c r="E1165" s="7" t="s">
        <v>577</v>
      </c>
      <c r="F1165" s="14" t="s">
        <v>21</v>
      </c>
      <c r="G1165" s="19" t="s">
        <v>1045</v>
      </c>
      <c r="H1165" s="12" t="s">
        <v>717</v>
      </c>
      <c r="I1165" s="7" t="s">
        <v>2860</v>
      </c>
      <c r="K1165" s="14" t="s">
        <v>578</v>
      </c>
      <c r="L1165" s="7" t="s">
        <v>579</v>
      </c>
      <c r="M1165" s="7" t="s">
        <v>1055</v>
      </c>
      <c r="N1165" s="7" t="s">
        <v>585</v>
      </c>
    </row>
    <row r="1166">
      <c r="A1166" s="27">
        <v>46065.0</v>
      </c>
      <c r="B1166" s="7" t="s">
        <v>2861</v>
      </c>
      <c r="C1166" s="21">
        <f>+5491123906365</f>
        <v>5491123906365</v>
      </c>
      <c r="D1166" s="7" t="s">
        <v>2862</v>
      </c>
      <c r="E1166" s="7" t="s">
        <v>577</v>
      </c>
      <c r="F1166" s="14" t="s">
        <v>21</v>
      </c>
      <c r="G1166" s="14" t="s">
        <v>18</v>
      </c>
      <c r="H1166" s="12" t="s">
        <v>745</v>
      </c>
      <c r="I1166" s="7" t="s">
        <v>2863</v>
      </c>
      <c r="K1166" s="14" t="s">
        <v>578</v>
      </c>
      <c r="L1166" s="7" t="s">
        <v>579</v>
      </c>
      <c r="M1166" s="7" t="s">
        <v>610</v>
      </c>
      <c r="N1166" s="7" t="s">
        <v>585</v>
      </c>
    </row>
    <row r="1167">
      <c r="A1167" s="27">
        <v>46065.0</v>
      </c>
      <c r="B1167" s="7" t="s">
        <v>2864</v>
      </c>
      <c r="C1167" s="21">
        <f>+541127314496</f>
        <v>541127314496</v>
      </c>
      <c r="D1167" s="7" t="s">
        <v>2865</v>
      </c>
      <c r="E1167" s="14" t="s">
        <v>24</v>
      </c>
      <c r="F1167" s="14" t="s">
        <v>21</v>
      </c>
      <c r="G1167" s="19" t="s">
        <v>1045</v>
      </c>
      <c r="H1167" s="12" t="s">
        <v>717</v>
      </c>
      <c r="I1167" s="7" t="s">
        <v>2792</v>
      </c>
      <c r="K1167" s="14" t="s">
        <v>578</v>
      </c>
      <c r="L1167" s="7" t="s">
        <v>584</v>
      </c>
      <c r="M1167" s="7" t="s">
        <v>1055</v>
      </c>
      <c r="N1167" s="7" t="s">
        <v>585</v>
      </c>
    </row>
    <row r="1168">
      <c r="A1168" s="27">
        <v>46065.0</v>
      </c>
      <c r="B1168" s="7" t="s">
        <v>2866</v>
      </c>
      <c r="C1168" s="21">
        <f>+542235374896</f>
        <v>542235374896</v>
      </c>
      <c r="D1168" s="7" t="s">
        <v>2867</v>
      </c>
      <c r="E1168" s="14" t="s">
        <v>16</v>
      </c>
      <c r="F1168" s="12" t="s">
        <v>17</v>
      </c>
      <c r="G1168" s="19" t="s">
        <v>1045</v>
      </c>
      <c r="H1168" s="12" t="s">
        <v>740</v>
      </c>
      <c r="I1168" s="7" t="s">
        <v>2868</v>
      </c>
      <c r="K1168" s="14" t="s">
        <v>578</v>
      </c>
      <c r="L1168" s="7" t="s">
        <v>579</v>
      </c>
      <c r="M1168" s="7" t="s">
        <v>610</v>
      </c>
      <c r="N1168" s="7" t="s">
        <v>581</v>
      </c>
    </row>
    <row r="1169">
      <c r="A1169" s="27">
        <v>46065.0</v>
      </c>
      <c r="B1169" s="7" t="s">
        <v>2869</v>
      </c>
      <c r="C1169" s="21">
        <f>+542364693110</f>
        <v>542364693110</v>
      </c>
      <c r="D1169" s="7" t="s">
        <v>2870</v>
      </c>
      <c r="E1169" s="14" t="s">
        <v>16</v>
      </c>
      <c r="F1169" s="14" t="s">
        <v>21</v>
      </c>
      <c r="G1169" s="14" t="s">
        <v>18</v>
      </c>
      <c r="H1169" s="12" t="s">
        <v>745</v>
      </c>
      <c r="I1169" s="7" t="s">
        <v>1289</v>
      </c>
      <c r="K1169" s="14" t="s">
        <v>578</v>
      </c>
      <c r="L1169" s="7" t="s">
        <v>584</v>
      </c>
      <c r="M1169" s="7" t="s">
        <v>1055</v>
      </c>
      <c r="N1169" s="7" t="s">
        <v>585</v>
      </c>
    </row>
    <row r="1170">
      <c r="A1170" s="27">
        <v>46066.0</v>
      </c>
      <c r="B1170" s="7" t="s">
        <v>2871</v>
      </c>
      <c r="C1170" s="21">
        <f>+543741442043</f>
        <v>543741442043</v>
      </c>
      <c r="D1170" s="7" t="s">
        <v>100</v>
      </c>
      <c r="E1170" s="14" t="s">
        <v>16</v>
      </c>
      <c r="F1170" s="14" t="s">
        <v>21</v>
      </c>
      <c r="G1170" s="14" t="s">
        <v>18</v>
      </c>
      <c r="H1170" s="12" t="s">
        <v>717</v>
      </c>
      <c r="I1170" s="7" t="s">
        <v>920</v>
      </c>
      <c r="K1170" s="14" t="s">
        <v>578</v>
      </c>
      <c r="L1170" s="7" t="s">
        <v>579</v>
      </c>
      <c r="M1170" s="7" t="s">
        <v>610</v>
      </c>
      <c r="N1170" s="7" t="s">
        <v>585</v>
      </c>
    </row>
    <row r="1171">
      <c r="A1171" s="27">
        <v>46066.0</v>
      </c>
      <c r="B1171" s="7" t="s">
        <v>2872</v>
      </c>
      <c r="C1171" s="21">
        <f>+541157687659</f>
        <v>541157687659</v>
      </c>
      <c r="D1171" s="7" t="s">
        <v>2873</v>
      </c>
      <c r="E1171" s="14" t="s">
        <v>16</v>
      </c>
      <c r="F1171" s="12" t="s">
        <v>17</v>
      </c>
      <c r="G1171" s="19" t="s">
        <v>1045</v>
      </c>
      <c r="H1171" s="12" t="s">
        <v>717</v>
      </c>
      <c r="I1171" s="7" t="s">
        <v>2874</v>
      </c>
      <c r="K1171" s="14" t="s">
        <v>578</v>
      </c>
      <c r="L1171" s="7" t="s">
        <v>584</v>
      </c>
      <c r="M1171" s="7" t="s">
        <v>1055</v>
      </c>
      <c r="N1171" s="7" t="s">
        <v>581</v>
      </c>
    </row>
    <row r="1172">
      <c r="A1172" s="27">
        <v>46066.0</v>
      </c>
      <c r="B1172" s="7" t="s">
        <v>2875</v>
      </c>
      <c r="C1172" s="23">
        <v>2.39253407E9</v>
      </c>
      <c r="D1172" s="7" t="s">
        <v>2876</v>
      </c>
      <c r="E1172" s="7" t="s">
        <v>577</v>
      </c>
      <c r="F1172" s="14" t="s">
        <v>21</v>
      </c>
      <c r="G1172" s="28" t="s">
        <v>25</v>
      </c>
      <c r="H1172" s="12" t="s">
        <v>717</v>
      </c>
      <c r="I1172" s="7" t="s">
        <v>1005</v>
      </c>
      <c r="K1172" s="14" t="s">
        <v>578</v>
      </c>
      <c r="L1172" s="7" t="s">
        <v>579</v>
      </c>
      <c r="M1172" s="7" t="s">
        <v>1055</v>
      </c>
      <c r="N1172" s="7" t="s">
        <v>585</v>
      </c>
    </row>
    <row r="1173">
      <c r="A1173" s="27">
        <v>46066.0</v>
      </c>
      <c r="B1173" s="7" t="s">
        <v>2877</v>
      </c>
      <c r="C1173" s="21">
        <f>+541132719215</f>
        <v>541132719215</v>
      </c>
      <c r="D1173" s="7" t="s">
        <v>2878</v>
      </c>
      <c r="E1173" s="7" t="s">
        <v>577</v>
      </c>
      <c r="F1173" s="14" t="s">
        <v>21</v>
      </c>
      <c r="G1173" s="14" t="s">
        <v>18</v>
      </c>
      <c r="H1173" s="12" t="s">
        <v>717</v>
      </c>
      <c r="I1173" s="7" t="s">
        <v>992</v>
      </c>
      <c r="K1173" s="14" t="s">
        <v>578</v>
      </c>
      <c r="L1173" s="7" t="s">
        <v>584</v>
      </c>
      <c r="M1173" s="7" t="s">
        <v>1055</v>
      </c>
      <c r="N1173" s="7" t="s">
        <v>585</v>
      </c>
    </row>
    <row r="1174">
      <c r="A1174" s="27">
        <v>46067.0</v>
      </c>
      <c r="B1174" s="7" t="s">
        <v>2879</v>
      </c>
      <c r="C1174" s="21">
        <f>+543415104447</f>
        <v>543415104447</v>
      </c>
      <c r="D1174" s="7" t="s">
        <v>2880</v>
      </c>
      <c r="E1174" s="14" t="s">
        <v>24</v>
      </c>
      <c r="F1174" s="14" t="s">
        <v>21</v>
      </c>
      <c r="G1174" s="28" t="s">
        <v>25</v>
      </c>
      <c r="H1174" s="12" t="s">
        <v>717</v>
      </c>
      <c r="I1174" s="7" t="s">
        <v>2881</v>
      </c>
      <c r="K1174" s="14" t="s">
        <v>578</v>
      </c>
      <c r="L1174" s="7" t="s">
        <v>579</v>
      </c>
      <c r="M1174" s="7" t="s">
        <v>1055</v>
      </c>
      <c r="N1174" s="7" t="s">
        <v>585</v>
      </c>
    </row>
    <row r="1175">
      <c r="A1175" s="27">
        <v>46067.0</v>
      </c>
      <c r="B1175" s="7" t="s">
        <v>2882</v>
      </c>
      <c r="C1175" s="21">
        <f>+541161727565</f>
        <v>541161727565</v>
      </c>
      <c r="D1175" s="7" t="s">
        <v>2883</v>
      </c>
      <c r="E1175" s="14" t="s">
        <v>24</v>
      </c>
      <c r="F1175" s="14" t="s">
        <v>21</v>
      </c>
      <c r="G1175" s="14" t="s">
        <v>18</v>
      </c>
      <c r="H1175" s="12" t="s">
        <v>727</v>
      </c>
      <c r="I1175" s="7" t="s">
        <v>2884</v>
      </c>
      <c r="K1175" s="14" t="s">
        <v>578</v>
      </c>
      <c r="L1175" s="7" t="s">
        <v>584</v>
      </c>
      <c r="M1175" s="7" t="s">
        <v>580</v>
      </c>
      <c r="N1175" s="7" t="s">
        <v>585</v>
      </c>
    </row>
    <row r="1176">
      <c r="A1176" s="27">
        <v>46067.0</v>
      </c>
      <c r="B1176" s="7" t="s">
        <v>2885</v>
      </c>
      <c r="C1176" s="21">
        <f>+543416206274</f>
        <v>543416206274</v>
      </c>
      <c r="D1176" s="7" t="s">
        <v>2886</v>
      </c>
      <c r="E1176" s="14" t="s">
        <v>16</v>
      </c>
      <c r="F1176" s="14" t="s">
        <v>21</v>
      </c>
      <c r="G1176" s="28" t="s">
        <v>25</v>
      </c>
      <c r="H1176" s="12" t="s">
        <v>717</v>
      </c>
      <c r="I1176" s="7" t="s">
        <v>2887</v>
      </c>
      <c r="K1176" s="14" t="s">
        <v>578</v>
      </c>
      <c r="L1176" s="7" t="s">
        <v>579</v>
      </c>
      <c r="M1176" s="7" t="s">
        <v>610</v>
      </c>
      <c r="N1176" s="7" t="s">
        <v>585</v>
      </c>
    </row>
    <row r="1177">
      <c r="A1177" s="27">
        <v>46067.0</v>
      </c>
      <c r="B1177" s="7" t="s">
        <v>2888</v>
      </c>
      <c r="C1177" s="21">
        <f>+543731628221</f>
        <v>543731628221</v>
      </c>
      <c r="D1177" s="7" t="s">
        <v>2889</v>
      </c>
      <c r="E1177" s="14" t="s">
        <v>16</v>
      </c>
      <c r="F1177" s="14" t="s">
        <v>21</v>
      </c>
      <c r="G1177" s="28" t="s">
        <v>25</v>
      </c>
      <c r="H1177" s="12" t="s">
        <v>740</v>
      </c>
      <c r="I1177" s="7" t="s">
        <v>2890</v>
      </c>
      <c r="K1177" s="14" t="s">
        <v>578</v>
      </c>
      <c r="L1177" s="7" t="s">
        <v>579</v>
      </c>
      <c r="M1177" s="7" t="s">
        <v>1055</v>
      </c>
      <c r="N1177" s="7" t="s">
        <v>585</v>
      </c>
    </row>
    <row r="1178">
      <c r="A1178" s="27">
        <v>46067.0</v>
      </c>
      <c r="B1178" s="7" t="s">
        <v>2891</v>
      </c>
      <c r="C1178" s="21">
        <f>+543794597616</f>
        <v>543794597616</v>
      </c>
      <c r="D1178" s="7" t="s">
        <v>2892</v>
      </c>
      <c r="E1178" s="14" t="s">
        <v>24</v>
      </c>
      <c r="F1178" s="14" t="s">
        <v>21</v>
      </c>
      <c r="G1178" s="28" t="s">
        <v>25</v>
      </c>
      <c r="H1178" s="12" t="s">
        <v>727</v>
      </c>
      <c r="I1178" s="7" t="s">
        <v>2893</v>
      </c>
      <c r="K1178" s="14" t="s">
        <v>578</v>
      </c>
      <c r="L1178" s="7" t="s">
        <v>579</v>
      </c>
      <c r="M1178" s="7" t="s">
        <v>1055</v>
      </c>
      <c r="N1178" s="7" t="s">
        <v>581</v>
      </c>
    </row>
    <row r="1179">
      <c r="A1179" s="27">
        <v>46067.0</v>
      </c>
      <c r="B1179" s="7" t="s">
        <v>2894</v>
      </c>
      <c r="C1179" s="21">
        <f>+541153358181</f>
        <v>541153358181</v>
      </c>
      <c r="D1179" s="7" t="s">
        <v>2895</v>
      </c>
      <c r="E1179" s="14" t="s">
        <v>24</v>
      </c>
      <c r="F1179" s="14" t="s">
        <v>21</v>
      </c>
      <c r="G1179" s="28" t="s">
        <v>25</v>
      </c>
      <c r="H1179" s="12" t="s">
        <v>740</v>
      </c>
      <c r="I1179" s="7" t="s">
        <v>2896</v>
      </c>
      <c r="K1179" s="14" t="s">
        <v>578</v>
      </c>
      <c r="L1179" s="7" t="s">
        <v>584</v>
      </c>
      <c r="M1179" s="7" t="s">
        <v>580</v>
      </c>
      <c r="N1179" s="7" t="s">
        <v>581</v>
      </c>
    </row>
    <row r="1180">
      <c r="A1180" s="27">
        <v>46067.0</v>
      </c>
      <c r="B1180" s="7" t="s">
        <v>2897</v>
      </c>
      <c r="C1180" s="21">
        <f>+543407403802</f>
        <v>543407403802</v>
      </c>
      <c r="D1180" s="7" t="s">
        <v>2898</v>
      </c>
      <c r="E1180" s="14" t="s">
        <v>24</v>
      </c>
      <c r="F1180" s="14" t="s">
        <v>21</v>
      </c>
      <c r="G1180" s="28" t="s">
        <v>25</v>
      </c>
      <c r="H1180" s="12" t="s">
        <v>717</v>
      </c>
      <c r="I1180" s="7" t="s">
        <v>756</v>
      </c>
      <c r="K1180" s="14" t="s">
        <v>578</v>
      </c>
      <c r="L1180" s="7" t="s">
        <v>579</v>
      </c>
      <c r="M1180" s="7" t="s">
        <v>610</v>
      </c>
      <c r="N1180" s="7" t="s">
        <v>581</v>
      </c>
    </row>
    <row r="1181">
      <c r="A1181" s="27">
        <v>46067.0</v>
      </c>
      <c r="B1181" s="7" t="s">
        <v>2899</v>
      </c>
      <c r="C1181" s="21">
        <f>+542358450633</f>
        <v>542358450633</v>
      </c>
      <c r="D1181" s="7" t="s">
        <v>2900</v>
      </c>
      <c r="E1181" s="14" t="s">
        <v>16</v>
      </c>
      <c r="F1181" s="14" t="s">
        <v>21</v>
      </c>
      <c r="G1181" s="14" t="s">
        <v>18</v>
      </c>
      <c r="H1181" s="12" t="s">
        <v>740</v>
      </c>
      <c r="I1181" s="7" t="s">
        <v>2901</v>
      </c>
      <c r="K1181" s="14" t="s">
        <v>578</v>
      </c>
      <c r="L1181" s="7" t="s">
        <v>579</v>
      </c>
      <c r="M1181" s="7" t="s">
        <v>610</v>
      </c>
      <c r="N1181" s="7" t="s">
        <v>585</v>
      </c>
    </row>
    <row r="1182">
      <c r="A1182" s="27">
        <v>46067.0</v>
      </c>
      <c r="B1182" s="7" t="s">
        <v>2902</v>
      </c>
      <c r="C1182" s="21">
        <f>+5491130189873</f>
        <v>5491130189873</v>
      </c>
      <c r="D1182" s="7" t="s">
        <v>2903</v>
      </c>
      <c r="E1182" s="14" t="s">
        <v>24</v>
      </c>
      <c r="F1182" s="12" t="s">
        <v>17</v>
      </c>
      <c r="G1182" s="19" t="s">
        <v>1045</v>
      </c>
      <c r="H1182" s="12" t="s">
        <v>745</v>
      </c>
      <c r="I1182" s="7" t="s">
        <v>2904</v>
      </c>
      <c r="K1182" s="14" t="s">
        <v>578</v>
      </c>
      <c r="L1182" s="7" t="s">
        <v>584</v>
      </c>
      <c r="M1182" s="7" t="s">
        <v>1055</v>
      </c>
      <c r="N1182" s="7" t="s">
        <v>585</v>
      </c>
    </row>
    <row r="1183">
      <c r="A1183" s="27">
        <v>46067.0</v>
      </c>
      <c r="B1183" s="7" t="s">
        <v>2905</v>
      </c>
      <c r="C1183" s="21">
        <f>+543456435643</f>
        <v>543456435643</v>
      </c>
      <c r="D1183" s="7" t="s">
        <v>2906</v>
      </c>
      <c r="E1183" s="14" t="s">
        <v>16</v>
      </c>
      <c r="F1183" s="14" t="s">
        <v>21</v>
      </c>
      <c r="G1183" s="28" t="s">
        <v>25</v>
      </c>
      <c r="H1183" s="12" t="s">
        <v>727</v>
      </c>
      <c r="I1183" s="7" t="s">
        <v>2907</v>
      </c>
      <c r="K1183" s="14" t="s">
        <v>578</v>
      </c>
      <c r="L1183" s="7" t="s">
        <v>579</v>
      </c>
      <c r="M1183" s="7" t="s">
        <v>610</v>
      </c>
      <c r="N1183" s="7" t="s">
        <v>585</v>
      </c>
    </row>
    <row r="1184">
      <c r="A1184" s="27">
        <v>46068.0</v>
      </c>
      <c r="B1184" s="7" t="s">
        <v>2908</v>
      </c>
      <c r="C1184" s="21">
        <f>+541164383722</f>
        <v>541164383722</v>
      </c>
      <c r="D1184" s="7" t="s">
        <v>2909</v>
      </c>
      <c r="E1184" s="14" t="s">
        <v>24</v>
      </c>
      <c r="F1184" s="14" t="s">
        <v>21</v>
      </c>
      <c r="G1184" s="28" t="s">
        <v>25</v>
      </c>
      <c r="H1184" s="12" t="s">
        <v>745</v>
      </c>
      <c r="I1184" s="7" t="s">
        <v>2910</v>
      </c>
      <c r="K1184" s="14" t="s">
        <v>578</v>
      </c>
      <c r="L1184" s="7" t="s">
        <v>584</v>
      </c>
      <c r="M1184" s="7" t="s">
        <v>580</v>
      </c>
      <c r="N1184" s="7" t="s">
        <v>585</v>
      </c>
    </row>
    <row r="1185">
      <c r="A1185" s="27">
        <v>46068.0</v>
      </c>
      <c r="B1185" s="7" t="s">
        <v>2911</v>
      </c>
      <c r="C1185" s="21">
        <f>+542984758221</f>
        <v>542984758221</v>
      </c>
      <c r="D1185" s="7" t="s">
        <v>2912</v>
      </c>
      <c r="E1185" s="14" t="s">
        <v>24</v>
      </c>
      <c r="F1185" s="14" t="s">
        <v>21</v>
      </c>
      <c r="G1185" s="28" t="s">
        <v>25</v>
      </c>
      <c r="H1185" s="12" t="s">
        <v>717</v>
      </c>
      <c r="I1185" s="7" t="s">
        <v>2913</v>
      </c>
      <c r="K1185" s="14" t="s">
        <v>578</v>
      </c>
      <c r="L1185" s="7" t="s">
        <v>579</v>
      </c>
      <c r="M1185" s="7" t="s">
        <v>580</v>
      </c>
      <c r="N1185" s="7" t="s">
        <v>581</v>
      </c>
    </row>
    <row r="1186">
      <c r="A1186" s="27">
        <v>46068.0</v>
      </c>
      <c r="B1186" s="7" t="s">
        <v>2914</v>
      </c>
      <c r="C1186" s="21">
        <f>+543812178137</f>
        <v>543812178137</v>
      </c>
      <c r="D1186" s="7" t="s">
        <v>2915</v>
      </c>
      <c r="E1186" s="14" t="s">
        <v>24</v>
      </c>
      <c r="F1186" s="14" t="s">
        <v>21</v>
      </c>
      <c r="G1186" s="28" t="s">
        <v>25</v>
      </c>
      <c r="H1186" s="12" t="s">
        <v>717</v>
      </c>
      <c r="I1186" s="7" t="s">
        <v>2557</v>
      </c>
      <c r="K1186" s="14" t="s">
        <v>578</v>
      </c>
      <c r="L1186" s="7" t="s">
        <v>579</v>
      </c>
      <c r="M1186" s="7" t="s">
        <v>610</v>
      </c>
      <c r="N1186" s="7" t="s">
        <v>581</v>
      </c>
    </row>
    <row r="1187">
      <c r="A1187" s="27">
        <v>46068.0</v>
      </c>
      <c r="B1187" s="7" t="s">
        <v>2916</v>
      </c>
      <c r="C1187" s="21">
        <f>+543415718256</f>
        <v>543415718256</v>
      </c>
      <c r="D1187" s="7" t="s">
        <v>2917</v>
      </c>
      <c r="E1187" s="14" t="s">
        <v>24</v>
      </c>
      <c r="F1187" s="14" t="s">
        <v>21</v>
      </c>
      <c r="G1187" s="14" t="s">
        <v>18</v>
      </c>
      <c r="H1187" s="12" t="s">
        <v>727</v>
      </c>
      <c r="I1187" s="7" t="s">
        <v>2918</v>
      </c>
      <c r="K1187" s="14" t="s">
        <v>578</v>
      </c>
      <c r="L1187" s="7" t="s">
        <v>579</v>
      </c>
      <c r="M1187" s="7" t="s">
        <v>580</v>
      </c>
      <c r="N1187" s="7" t="s">
        <v>581</v>
      </c>
    </row>
    <row r="1188">
      <c r="A1188" s="27">
        <v>46068.0</v>
      </c>
      <c r="B1188" s="7" t="s">
        <v>2919</v>
      </c>
      <c r="C1188" s="21">
        <f>+541155814577</f>
        <v>541155814577</v>
      </c>
      <c r="D1188" s="7" t="s">
        <v>2920</v>
      </c>
      <c r="E1188" s="14" t="s">
        <v>24</v>
      </c>
      <c r="F1188" s="12" t="s">
        <v>17</v>
      </c>
      <c r="G1188" s="28" t="s">
        <v>25</v>
      </c>
      <c r="H1188" s="12" t="s">
        <v>717</v>
      </c>
      <c r="I1188" s="7" t="s">
        <v>2057</v>
      </c>
      <c r="K1188" s="14" t="s">
        <v>578</v>
      </c>
      <c r="L1188" s="7" t="s">
        <v>584</v>
      </c>
      <c r="M1188" s="7" t="s">
        <v>1055</v>
      </c>
      <c r="N1188" s="7" t="s">
        <v>585</v>
      </c>
    </row>
    <row r="1189">
      <c r="A1189" s="27">
        <v>46068.0</v>
      </c>
      <c r="B1189" s="7" t="s">
        <v>2921</v>
      </c>
      <c r="C1189" s="21">
        <f>+542345517682</f>
        <v>542345517682</v>
      </c>
      <c r="D1189" s="7" t="s">
        <v>2922</v>
      </c>
      <c r="E1189" s="7" t="s">
        <v>577</v>
      </c>
      <c r="F1189" s="14" t="s">
        <v>21</v>
      </c>
      <c r="G1189" s="14" t="s">
        <v>18</v>
      </c>
      <c r="H1189" s="12" t="s">
        <v>740</v>
      </c>
      <c r="I1189" s="7" t="s">
        <v>818</v>
      </c>
      <c r="K1189" s="14" t="s">
        <v>578</v>
      </c>
      <c r="L1189" s="7" t="s">
        <v>579</v>
      </c>
      <c r="M1189" s="7" t="s">
        <v>580</v>
      </c>
      <c r="N1189" s="7" t="s">
        <v>585</v>
      </c>
    </row>
    <row r="1190">
      <c r="A1190" s="27">
        <v>46068.0</v>
      </c>
      <c r="B1190" s="7" t="s">
        <v>2923</v>
      </c>
      <c r="C1190" s="21">
        <f>+543825530016</f>
        <v>543825530016</v>
      </c>
      <c r="D1190" s="7" t="s">
        <v>2924</v>
      </c>
      <c r="E1190" s="7" t="s">
        <v>577</v>
      </c>
      <c r="F1190" s="14" t="s">
        <v>21</v>
      </c>
      <c r="G1190" s="28" t="s">
        <v>25</v>
      </c>
      <c r="H1190" s="12" t="s">
        <v>717</v>
      </c>
      <c r="I1190" s="7" t="s">
        <v>1206</v>
      </c>
      <c r="K1190" s="14" t="s">
        <v>578</v>
      </c>
      <c r="L1190" s="7" t="s">
        <v>584</v>
      </c>
      <c r="M1190" s="7" t="s">
        <v>580</v>
      </c>
      <c r="N1190" s="7" t="s">
        <v>581</v>
      </c>
    </row>
    <row r="1191">
      <c r="A1191" s="27">
        <v>46068.0</v>
      </c>
      <c r="B1191" s="7" t="s">
        <v>2925</v>
      </c>
      <c r="C1191" s="21">
        <f>+13472547795</f>
        <v>13472547795</v>
      </c>
      <c r="D1191" s="7" t="s">
        <v>2926</v>
      </c>
      <c r="E1191" s="14" t="s">
        <v>16</v>
      </c>
      <c r="F1191" s="14" t="s">
        <v>21</v>
      </c>
      <c r="G1191" s="28" t="s">
        <v>25</v>
      </c>
      <c r="H1191" s="12" t="s">
        <v>727</v>
      </c>
      <c r="I1191" s="7" t="s">
        <v>2927</v>
      </c>
      <c r="K1191" s="14" t="s">
        <v>578</v>
      </c>
      <c r="L1191" s="7" t="s">
        <v>579</v>
      </c>
      <c r="M1191" s="7" t="s">
        <v>580</v>
      </c>
      <c r="N1191" s="7" t="s">
        <v>581</v>
      </c>
    </row>
    <row r="1192">
      <c r="A1192" s="27">
        <v>46068.0</v>
      </c>
      <c r="B1192" s="7" t="s">
        <v>2928</v>
      </c>
      <c r="C1192" s="21">
        <f>+543434640167</f>
        <v>543434640167</v>
      </c>
      <c r="D1192" s="7" t="s">
        <v>2929</v>
      </c>
      <c r="E1192" s="14" t="s">
        <v>24</v>
      </c>
      <c r="F1192" s="14" t="s">
        <v>21</v>
      </c>
      <c r="G1192" s="28" t="s">
        <v>25</v>
      </c>
      <c r="H1192" s="12" t="s">
        <v>717</v>
      </c>
      <c r="I1192" s="7" t="s">
        <v>1289</v>
      </c>
      <c r="K1192" s="14" t="s">
        <v>578</v>
      </c>
      <c r="L1192" s="7" t="s">
        <v>579</v>
      </c>
      <c r="M1192" s="7" t="s">
        <v>610</v>
      </c>
      <c r="N1192" s="7" t="s">
        <v>585</v>
      </c>
    </row>
    <row r="1193">
      <c r="A1193" s="27">
        <v>46068.0</v>
      </c>
      <c r="B1193" s="7" t="s">
        <v>2930</v>
      </c>
      <c r="C1193" s="21">
        <f>+542994676695</f>
        <v>542994676695</v>
      </c>
      <c r="D1193" s="7" t="s">
        <v>2931</v>
      </c>
      <c r="E1193" s="14" t="s">
        <v>24</v>
      </c>
      <c r="F1193" s="14" t="s">
        <v>21</v>
      </c>
      <c r="G1193" s="19" t="s">
        <v>1045</v>
      </c>
      <c r="H1193" s="12" t="s">
        <v>727</v>
      </c>
      <c r="I1193" s="7" t="s">
        <v>1433</v>
      </c>
      <c r="K1193" s="14" t="s">
        <v>578</v>
      </c>
      <c r="L1193" s="7" t="s">
        <v>579</v>
      </c>
      <c r="M1193" s="7" t="s">
        <v>580</v>
      </c>
      <c r="N1193" s="7" t="s">
        <v>581</v>
      </c>
    </row>
    <row r="1194">
      <c r="A1194" s="27">
        <v>46069.0</v>
      </c>
      <c r="B1194" s="7" t="s">
        <v>2932</v>
      </c>
      <c r="C1194" s="21">
        <f>+541121617180</f>
        <v>541121617180</v>
      </c>
      <c r="D1194" s="7" t="s">
        <v>2933</v>
      </c>
      <c r="E1194" s="14" t="s">
        <v>24</v>
      </c>
      <c r="F1194" s="14" t="s">
        <v>21</v>
      </c>
      <c r="G1194" s="19" t="s">
        <v>1045</v>
      </c>
      <c r="H1194" s="12" t="s">
        <v>740</v>
      </c>
      <c r="I1194" s="7" t="s">
        <v>718</v>
      </c>
      <c r="K1194" s="14" t="s">
        <v>578</v>
      </c>
      <c r="L1194" s="7" t="s">
        <v>584</v>
      </c>
      <c r="M1194" s="7" t="s">
        <v>1055</v>
      </c>
      <c r="N1194" s="7" t="s">
        <v>585</v>
      </c>
    </row>
    <row r="1195">
      <c r="A1195" s="27">
        <v>46069.0</v>
      </c>
      <c r="B1195" s="7" t="s">
        <v>2934</v>
      </c>
      <c r="C1195" s="21">
        <f>+543413581999</f>
        <v>543413581999</v>
      </c>
      <c r="D1195" s="7" t="s">
        <v>2935</v>
      </c>
      <c r="E1195" s="7" t="s">
        <v>577</v>
      </c>
      <c r="F1195" s="12" t="s">
        <v>17</v>
      </c>
      <c r="G1195" s="28" t="s">
        <v>25</v>
      </c>
      <c r="H1195" s="12" t="s">
        <v>727</v>
      </c>
      <c r="I1195" s="7" t="s">
        <v>731</v>
      </c>
      <c r="K1195" s="14" t="s">
        <v>578</v>
      </c>
      <c r="L1195" s="7" t="s">
        <v>579</v>
      </c>
      <c r="M1195" s="7" t="s">
        <v>610</v>
      </c>
      <c r="N1195" s="7" t="s">
        <v>585</v>
      </c>
    </row>
    <row r="1196">
      <c r="A1196" s="27">
        <v>46069.0</v>
      </c>
      <c r="B1196" s="7" t="s">
        <v>2936</v>
      </c>
      <c r="C1196" s="21">
        <f>+541153318555</f>
        <v>541153318555</v>
      </c>
      <c r="D1196" s="7" t="s">
        <v>2937</v>
      </c>
      <c r="E1196" s="14" t="s">
        <v>24</v>
      </c>
      <c r="F1196" s="14" t="s">
        <v>21</v>
      </c>
      <c r="G1196" s="28" t="s">
        <v>25</v>
      </c>
      <c r="H1196" s="12" t="s">
        <v>717</v>
      </c>
      <c r="I1196" s="7" t="s">
        <v>731</v>
      </c>
      <c r="K1196" s="14" t="s">
        <v>578</v>
      </c>
      <c r="L1196" s="7" t="s">
        <v>584</v>
      </c>
      <c r="M1196" s="7" t="s">
        <v>580</v>
      </c>
      <c r="N1196" s="7" t="s">
        <v>585</v>
      </c>
    </row>
    <row r="1197">
      <c r="A1197" s="27">
        <v>46069.0</v>
      </c>
      <c r="B1197" s="7" t="s">
        <v>2938</v>
      </c>
      <c r="C1197" s="21">
        <f>+541169341546</f>
        <v>541169341546</v>
      </c>
      <c r="D1197" s="7" t="s">
        <v>2939</v>
      </c>
      <c r="E1197" s="14" t="s">
        <v>24</v>
      </c>
      <c r="F1197" s="14" t="s">
        <v>21</v>
      </c>
      <c r="G1197" s="14" t="s">
        <v>18</v>
      </c>
      <c r="H1197" s="12" t="s">
        <v>717</v>
      </c>
      <c r="I1197" s="7" t="s">
        <v>734</v>
      </c>
      <c r="K1197" s="14" t="s">
        <v>578</v>
      </c>
      <c r="L1197" s="7" t="s">
        <v>584</v>
      </c>
      <c r="M1197" s="7" t="s">
        <v>580</v>
      </c>
      <c r="N1197" s="7" t="s">
        <v>585</v>
      </c>
    </row>
    <row r="1198">
      <c r="A1198" s="27">
        <v>46069.0</v>
      </c>
      <c r="B1198" s="7" t="s">
        <v>2940</v>
      </c>
      <c r="C1198" s="21">
        <f>+541156347818</f>
        <v>541156347818</v>
      </c>
      <c r="D1198" s="7" t="s">
        <v>2941</v>
      </c>
      <c r="E1198" s="14" t="s">
        <v>24</v>
      </c>
      <c r="F1198" s="12" t="s">
        <v>17</v>
      </c>
      <c r="G1198" s="14" t="s">
        <v>18</v>
      </c>
      <c r="H1198" s="12" t="s">
        <v>740</v>
      </c>
      <c r="I1198" s="7" t="s">
        <v>2942</v>
      </c>
      <c r="K1198" s="14" t="s">
        <v>578</v>
      </c>
      <c r="L1198" s="7" t="s">
        <v>584</v>
      </c>
      <c r="M1198" s="7" t="s">
        <v>1055</v>
      </c>
      <c r="N1198" s="7" t="s">
        <v>581</v>
      </c>
    </row>
    <row r="1199">
      <c r="A1199" s="27">
        <v>46069.0</v>
      </c>
      <c r="B1199" s="7" t="s">
        <v>2943</v>
      </c>
      <c r="C1199" s="21">
        <f>+5491155137136</f>
        <v>5491155137136</v>
      </c>
      <c r="D1199" s="7" t="s">
        <v>2944</v>
      </c>
      <c r="E1199" s="14" t="s">
        <v>24</v>
      </c>
      <c r="F1199" s="14" t="s">
        <v>21</v>
      </c>
      <c r="G1199" s="28" t="s">
        <v>25</v>
      </c>
      <c r="H1199" s="12" t="s">
        <v>717</v>
      </c>
      <c r="I1199" s="7" t="s">
        <v>759</v>
      </c>
      <c r="K1199" s="14" t="s">
        <v>578</v>
      </c>
      <c r="L1199" s="7" t="s">
        <v>584</v>
      </c>
      <c r="M1199" s="7" t="s">
        <v>580</v>
      </c>
      <c r="N1199" s="7" t="s">
        <v>585</v>
      </c>
    </row>
    <row r="1200">
      <c r="A1200" s="27">
        <v>46069.0</v>
      </c>
      <c r="B1200" s="7" t="s">
        <v>2945</v>
      </c>
      <c r="C1200" s="21">
        <f>+542948459536</f>
        <v>542948459536</v>
      </c>
      <c r="D1200" s="7" t="s">
        <v>2946</v>
      </c>
      <c r="E1200" s="14" t="s">
        <v>24</v>
      </c>
      <c r="F1200" s="14" t="s">
        <v>21</v>
      </c>
      <c r="G1200" s="28" t="s">
        <v>25</v>
      </c>
      <c r="H1200" s="12" t="s">
        <v>717</v>
      </c>
      <c r="I1200" s="7" t="s">
        <v>767</v>
      </c>
      <c r="K1200" s="14" t="s">
        <v>578</v>
      </c>
      <c r="L1200" s="7" t="s">
        <v>584</v>
      </c>
      <c r="M1200" s="7" t="s">
        <v>580</v>
      </c>
      <c r="N1200" s="7" t="s">
        <v>581</v>
      </c>
    </row>
    <row r="1201">
      <c r="A1201" s="27">
        <v>46069.0</v>
      </c>
      <c r="B1201" s="7" t="s">
        <v>2947</v>
      </c>
      <c r="C1201" s="21">
        <f>+543562435977</f>
        <v>543562435977</v>
      </c>
      <c r="D1201" s="7" t="s">
        <v>2948</v>
      </c>
      <c r="E1201" s="14" t="s">
        <v>16</v>
      </c>
      <c r="F1201" s="14" t="s">
        <v>21</v>
      </c>
      <c r="G1201" s="28" t="s">
        <v>25</v>
      </c>
      <c r="H1201" s="12" t="s">
        <v>745</v>
      </c>
      <c r="I1201" s="7" t="s">
        <v>718</v>
      </c>
      <c r="K1201" s="14" t="s">
        <v>578</v>
      </c>
      <c r="L1201" s="7" t="s">
        <v>579</v>
      </c>
      <c r="M1201" s="7" t="s">
        <v>580</v>
      </c>
      <c r="N1201" s="7" t="s">
        <v>585</v>
      </c>
    </row>
    <row r="1202">
      <c r="A1202" s="27">
        <v>46069.0</v>
      </c>
      <c r="B1202" s="7" t="s">
        <v>2949</v>
      </c>
      <c r="C1202" s="21">
        <f>+5493834509177</f>
        <v>5493834509177</v>
      </c>
      <c r="D1202" s="7" t="s">
        <v>2950</v>
      </c>
      <c r="E1202" s="7" t="s">
        <v>577</v>
      </c>
      <c r="F1202" s="14" t="s">
        <v>21</v>
      </c>
      <c r="G1202" s="28" t="s">
        <v>25</v>
      </c>
      <c r="H1202" s="12" t="s">
        <v>717</v>
      </c>
      <c r="I1202" s="7" t="s">
        <v>855</v>
      </c>
      <c r="K1202" s="14" t="s">
        <v>578</v>
      </c>
      <c r="L1202" s="7" t="s">
        <v>579</v>
      </c>
      <c r="M1202" s="7" t="s">
        <v>580</v>
      </c>
      <c r="N1202" s="7" t="s">
        <v>581</v>
      </c>
    </row>
    <row r="1203">
      <c r="A1203" s="27">
        <v>46069.0</v>
      </c>
      <c r="B1203" s="7" t="s">
        <v>2951</v>
      </c>
      <c r="C1203" s="21">
        <f>+5493534224383</f>
        <v>5493534224383</v>
      </c>
      <c r="D1203" s="7" t="s">
        <v>2952</v>
      </c>
      <c r="E1203" s="14" t="s">
        <v>16</v>
      </c>
      <c r="F1203" s="14" t="s">
        <v>21</v>
      </c>
      <c r="G1203" s="28" t="s">
        <v>25</v>
      </c>
      <c r="H1203" s="12" t="s">
        <v>740</v>
      </c>
      <c r="I1203" s="7" t="s">
        <v>2953</v>
      </c>
      <c r="K1203" s="14" t="s">
        <v>578</v>
      </c>
      <c r="L1203" s="7" t="s">
        <v>579</v>
      </c>
      <c r="M1203" s="7" t="s">
        <v>580</v>
      </c>
      <c r="N1203" s="7" t="s">
        <v>581</v>
      </c>
    </row>
    <row r="1204">
      <c r="A1204" s="27">
        <v>46069.0</v>
      </c>
      <c r="B1204" s="7" t="s">
        <v>2954</v>
      </c>
      <c r="C1204" s="21">
        <f>+541137603783</f>
        <v>541137603783</v>
      </c>
      <c r="D1204" s="7" t="s">
        <v>2955</v>
      </c>
      <c r="E1204" s="14" t="s">
        <v>24</v>
      </c>
      <c r="F1204" s="14" t="s">
        <v>21</v>
      </c>
      <c r="G1204" s="28" t="s">
        <v>25</v>
      </c>
      <c r="H1204" s="12" t="s">
        <v>717</v>
      </c>
      <c r="I1204" s="7" t="s">
        <v>718</v>
      </c>
      <c r="K1204" s="14" t="s">
        <v>578</v>
      </c>
      <c r="L1204" s="7" t="s">
        <v>584</v>
      </c>
      <c r="M1204" s="7" t="s">
        <v>580</v>
      </c>
      <c r="N1204" s="7" t="s">
        <v>585</v>
      </c>
    </row>
    <row r="1205">
      <c r="A1205" s="27">
        <v>46069.0</v>
      </c>
      <c r="B1205" s="7" t="s">
        <v>2956</v>
      </c>
      <c r="C1205" s="21">
        <f>+543456547026</f>
        <v>543456547026</v>
      </c>
      <c r="D1205" s="7" t="s">
        <v>2957</v>
      </c>
      <c r="E1205" s="14" t="s">
        <v>24</v>
      </c>
      <c r="F1205" s="14" t="s">
        <v>21</v>
      </c>
      <c r="G1205" s="28" t="s">
        <v>25</v>
      </c>
      <c r="H1205" s="12" t="s">
        <v>717</v>
      </c>
      <c r="I1205" s="7" t="s">
        <v>2958</v>
      </c>
      <c r="K1205" s="14" t="s">
        <v>578</v>
      </c>
      <c r="L1205" s="7" t="s">
        <v>579</v>
      </c>
      <c r="M1205" s="7" t="s">
        <v>580</v>
      </c>
      <c r="N1205" s="7" t="s">
        <v>585</v>
      </c>
    </row>
    <row r="1206">
      <c r="A1206" s="4">
        <v>46070.0</v>
      </c>
      <c r="B1206" s="7" t="s">
        <v>2959</v>
      </c>
      <c r="C1206" s="21">
        <f>+543764323153</f>
        <v>543764323153</v>
      </c>
      <c r="D1206" s="7" t="s">
        <v>2960</v>
      </c>
      <c r="E1206" s="14" t="s">
        <v>24</v>
      </c>
      <c r="F1206" s="14" t="s">
        <v>21</v>
      </c>
      <c r="G1206" s="28" t="s">
        <v>25</v>
      </c>
      <c r="H1206" s="12" t="s">
        <v>717</v>
      </c>
      <c r="I1206" s="7" t="s">
        <v>2961</v>
      </c>
      <c r="K1206" s="14" t="s">
        <v>578</v>
      </c>
      <c r="L1206" s="7" t="s">
        <v>579</v>
      </c>
      <c r="M1206" s="7" t="s">
        <v>580</v>
      </c>
      <c r="N1206" s="7" t="s">
        <v>581</v>
      </c>
    </row>
    <row r="1207">
      <c r="A1207" s="4">
        <v>46070.0</v>
      </c>
      <c r="B1207" s="7" t="s">
        <v>2962</v>
      </c>
      <c r="C1207" s="23">
        <v>3.541204059E9</v>
      </c>
      <c r="D1207" s="7" t="s">
        <v>2963</v>
      </c>
      <c r="E1207" s="14" t="s">
        <v>24</v>
      </c>
      <c r="F1207" s="14" t="s">
        <v>21</v>
      </c>
      <c r="G1207" s="28" t="s">
        <v>25</v>
      </c>
      <c r="H1207" s="12" t="s">
        <v>717</v>
      </c>
      <c r="I1207" s="7" t="s">
        <v>2964</v>
      </c>
      <c r="K1207" s="14" t="s">
        <v>578</v>
      </c>
      <c r="L1207" s="7" t="s">
        <v>579</v>
      </c>
      <c r="M1207" s="7" t="s">
        <v>1055</v>
      </c>
      <c r="N1207" s="7" t="s">
        <v>585</v>
      </c>
    </row>
    <row r="1208">
      <c r="A1208" s="4">
        <v>46070.0</v>
      </c>
      <c r="B1208" s="7" t="s">
        <v>2965</v>
      </c>
      <c r="C1208" s="21">
        <f>+541144224385</f>
        <v>541144224385</v>
      </c>
      <c r="D1208" s="7" t="s">
        <v>2966</v>
      </c>
      <c r="E1208" s="7" t="s">
        <v>577</v>
      </c>
      <c r="F1208" s="14" t="s">
        <v>21</v>
      </c>
      <c r="G1208" s="28" t="s">
        <v>25</v>
      </c>
      <c r="H1208" s="12" t="s">
        <v>717</v>
      </c>
      <c r="I1208" s="7" t="s">
        <v>2967</v>
      </c>
      <c r="K1208" s="14" t="s">
        <v>578</v>
      </c>
      <c r="L1208" s="7" t="s">
        <v>584</v>
      </c>
      <c r="M1208" s="7" t="s">
        <v>580</v>
      </c>
      <c r="N1208" s="7" t="s">
        <v>585</v>
      </c>
    </row>
    <row r="1209">
      <c r="A1209" s="4">
        <v>46070.0</v>
      </c>
      <c r="B1209" s="7" t="s">
        <v>2968</v>
      </c>
      <c r="C1209" s="21">
        <f>+543816207125</f>
        <v>543816207125</v>
      </c>
      <c r="D1209" s="7" t="s">
        <v>2969</v>
      </c>
      <c r="E1209" s="7" t="s">
        <v>577</v>
      </c>
      <c r="F1209" s="14" t="s">
        <v>21</v>
      </c>
      <c r="G1209" s="28" t="s">
        <v>25</v>
      </c>
      <c r="H1209" s="12" t="s">
        <v>717</v>
      </c>
      <c r="I1209" s="7" t="s">
        <v>2970</v>
      </c>
      <c r="K1209" s="14" t="s">
        <v>578</v>
      </c>
      <c r="L1209" s="7" t="s">
        <v>579</v>
      </c>
      <c r="M1209" s="7" t="s">
        <v>580</v>
      </c>
      <c r="N1209" s="7" t="s">
        <v>581</v>
      </c>
    </row>
    <row r="1210">
      <c r="A1210" s="4">
        <v>46070.0</v>
      </c>
      <c r="B1210" s="7" t="s">
        <v>2971</v>
      </c>
      <c r="C1210" s="21">
        <f>+541171144316</f>
        <v>541171144316</v>
      </c>
      <c r="D1210" s="7" t="s">
        <v>2972</v>
      </c>
      <c r="E1210" s="7" t="s">
        <v>577</v>
      </c>
      <c r="F1210" s="14" t="s">
        <v>21</v>
      </c>
      <c r="G1210" s="28" t="s">
        <v>25</v>
      </c>
      <c r="H1210" s="12" t="s">
        <v>717</v>
      </c>
      <c r="I1210" s="7" t="s">
        <v>756</v>
      </c>
      <c r="K1210" s="14" t="s">
        <v>578</v>
      </c>
      <c r="L1210" s="7" t="s">
        <v>584</v>
      </c>
      <c r="M1210" s="7" t="s">
        <v>580</v>
      </c>
      <c r="N1210" s="7" t="s">
        <v>581</v>
      </c>
    </row>
    <row r="1211">
      <c r="A1211" s="4">
        <v>46070.0</v>
      </c>
      <c r="B1211" s="7" t="s">
        <v>2973</v>
      </c>
      <c r="C1211" s="21">
        <f>+541152269893</f>
        <v>541152269893</v>
      </c>
      <c r="D1211" s="7" t="s">
        <v>2974</v>
      </c>
      <c r="E1211" s="14" t="s">
        <v>24</v>
      </c>
      <c r="F1211" s="12" t="s">
        <v>17</v>
      </c>
      <c r="G1211" s="19" t="s">
        <v>1045</v>
      </c>
      <c r="H1211" s="12" t="s">
        <v>727</v>
      </c>
      <c r="I1211" s="7" t="s">
        <v>2975</v>
      </c>
      <c r="K1211" s="14" t="s">
        <v>578</v>
      </c>
      <c r="L1211" s="7" t="s">
        <v>584</v>
      </c>
      <c r="M1211" s="7" t="s">
        <v>1055</v>
      </c>
      <c r="N1211" s="7" t="s">
        <v>585</v>
      </c>
    </row>
    <row r="1212">
      <c r="A1212" s="4">
        <v>46070.0</v>
      </c>
      <c r="B1212" s="7" t="s">
        <v>2976</v>
      </c>
      <c r="C1212" s="21">
        <f>+542922454056</f>
        <v>542922454056</v>
      </c>
      <c r="D1212" s="7" t="s">
        <v>2977</v>
      </c>
      <c r="E1212" s="7" t="s">
        <v>577</v>
      </c>
      <c r="F1212" s="14" t="s">
        <v>21</v>
      </c>
      <c r="G1212" s="28" t="s">
        <v>25</v>
      </c>
      <c r="H1212" s="12" t="s">
        <v>717</v>
      </c>
      <c r="I1212" s="7" t="s">
        <v>2978</v>
      </c>
      <c r="K1212" s="14" t="s">
        <v>578</v>
      </c>
      <c r="L1212" s="7" t="s">
        <v>579</v>
      </c>
      <c r="M1212" s="7" t="s">
        <v>1055</v>
      </c>
      <c r="N1212" s="7" t="s">
        <v>585</v>
      </c>
    </row>
    <row r="1213">
      <c r="A1213" s="4">
        <v>46070.0</v>
      </c>
      <c r="B1213" s="7" t="s">
        <v>2979</v>
      </c>
      <c r="C1213" s="21">
        <f>+542664834724</f>
        <v>542664834724</v>
      </c>
      <c r="D1213" s="7" t="s">
        <v>2980</v>
      </c>
      <c r="E1213" s="14" t="s">
        <v>16</v>
      </c>
      <c r="F1213" s="14" t="s">
        <v>21</v>
      </c>
      <c r="G1213" s="28" t="s">
        <v>25</v>
      </c>
      <c r="H1213" s="12" t="s">
        <v>740</v>
      </c>
      <c r="I1213" s="7" t="s">
        <v>2970</v>
      </c>
      <c r="K1213" s="14" t="s">
        <v>578</v>
      </c>
      <c r="L1213" s="7" t="s">
        <v>579</v>
      </c>
      <c r="M1213" s="7" t="s">
        <v>1055</v>
      </c>
      <c r="N1213" s="7" t="s">
        <v>581</v>
      </c>
    </row>
    <row r="1214">
      <c r="A1214" s="4">
        <v>46070.0</v>
      </c>
      <c r="B1214" s="7" t="s">
        <v>2981</v>
      </c>
      <c r="C1214" s="21">
        <f>+542657622293</f>
        <v>542657622293</v>
      </c>
      <c r="D1214" s="7" t="s">
        <v>2982</v>
      </c>
      <c r="E1214" s="14" t="s">
        <v>24</v>
      </c>
      <c r="F1214" s="14" t="s">
        <v>21</v>
      </c>
      <c r="G1214" s="28" t="s">
        <v>25</v>
      </c>
      <c r="H1214" s="12" t="s">
        <v>717</v>
      </c>
      <c r="I1214" s="7" t="s">
        <v>2983</v>
      </c>
      <c r="K1214" s="14" t="s">
        <v>578</v>
      </c>
      <c r="L1214" s="7" t="s">
        <v>579</v>
      </c>
      <c r="M1214" s="7" t="s">
        <v>580</v>
      </c>
      <c r="N1214" s="7" t="s">
        <v>581</v>
      </c>
    </row>
    <row r="1215">
      <c r="A1215" s="4">
        <v>46070.0</v>
      </c>
      <c r="B1215" s="7" t="s">
        <v>2984</v>
      </c>
      <c r="C1215" s="21">
        <f>+541126990268</f>
        <v>541126990268</v>
      </c>
      <c r="D1215" s="7" t="s">
        <v>2985</v>
      </c>
      <c r="E1215" s="14" t="s">
        <v>16</v>
      </c>
      <c r="F1215" s="12" t="s">
        <v>17</v>
      </c>
      <c r="G1215" s="28" t="s">
        <v>25</v>
      </c>
      <c r="H1215" s="12" t="s">
        <v>740</v>
      </c>
      <c r="I1215" s="7" t="s">
        <v>947</v>
      </c>
      <c r="K1215" s="14" t="s">
        <v>578</v>
      </c>
      <c r="L1215" s="7" t="s">
        <v>584</v>
      </c>
      <c r="M1215" s="7" t="s">
        <v>580</v>
      </c>
      <c r="N1215" s="7" t="s">
        <v>585</v>
      </c>
    </row>
    <row r="1216">
      <c r="A1216" s="4">
        <v>46070.0</v>
      </c>
      <c r="B1216" s="7" t="s">
        <v>784</v>
      </c>
      <c r="C1216" s="21">
        <f>+5493516861932</f>
        <v>5493516861932</v>
      </c>
      <c r="D1216" s="7" t="s">
        <v>785</v>
      </c>
      <c r="E1216" s="7" t="s">
        <v>577</v>
      </c>
      <c r="F1216" s="14" t="s">
        <v>21</v>
      </c>
      <c r="G1216" s="28" t="s">
        <v>25</v>
      </c>
      <c r="H1216" s="12" t="s">
        <v>717</v>
      </c>
      <c r="I1216" s="7" t="s">
        <v>2986</v>
      </c>
      <c r="K1216" s="14" t="s">
        <v>578</v>
      </c>
      <c r="L1216" s="7" t="s">
        <v>579</v>
      </c>
      <c r="M1216" s="7" t="s">
        <v>1055</v>
      </c>
      <c r="N1216" s="7" t="s">
        <v>581</v>
      </c>
    </row>
    <row r="1217">
      <c r="A1217" s="4">
        <v>46070.0</v>
      </c>
      <c r="B1217" s="7" t="s">
        <v>2987</v>
      </c>
      <c r="C1217" s="21">
        <f>+542923697774</f>
        <v>542923697774</v>
      </c>
      <c r="D1217" s="7" t="s">
        <v>2988</v>
      </c>
      <c r="E1217" s="7" t="s">
        <v>577</v>
      </c>
      <c r="F1217" s="14" t="s">
        <v>21</v>
      </c>
      <c r="G1217" s="28" t="s">
        <v>25</v>
      </c>
      <c r="H1217" s="12" t="s">
        <v>727</v>
      </c>
      <c r="I1217" s="7" t="s">
        <v>2989</v>
      </c>
      <c r="K1217" s="14" t="s">
        <v>578</v>
      </c>
      <c r="L1217" s="7" t="s">
        <v>579</v>
      </c>
      <c r="M1217" s="7" t="s">
        <v>580</v>
      </c>
      <c r="N1217" s="7" t="s">
        <v>581</v>
      </c>
    </row>
    <row r="1218">
      <c r="A1218" s="4">
        <v>46070.0</v>
      </c>
      <c r="B1218" s="7" t="s">
        <v>2990</v>
      </c>
      <c r="C1218" s="21">
        <f>+543794393488</f>
        <v>543794393488</v>
      </c>
      <c r="D1218" s="7" t="s">
        <v>2991</v>
      </c>
      <c r="E1218" s="14" t="s">
        <v>16</v>
      </c>
      <c r="F1218" s="14" t="s">
        <v>21</v>
      </c>
      <c r="G1218" s="28" t="s">
        <v>25</v>
      </c>
      <c r="H1218" s="12" t="s">
        <v>717</v>
      </c>
      <c r="I1218" s="7" t="s">
        <v>718</v>
      </c>
      <c r="K1218" s="14" t="s">
        <v>578</v>
      </c>
      <c r="L1218" s="7" t="s">
        <v>579</v>
      </c>
      <c r="M1218" s="7" t="s">
        <v>610</v>
      </c>
      <c r="N1218" s="7" t="s">
        <v>585</v>
      </c>
    </row>
    <row r="1219">
      <c r="A1219" s="4">
        <v>46070.0</v>
      </c>
      <c r="B1219" s="7" t="s">
        <v>2992</v>
      </c>
      <c r="C1219" s="21">
        <f>+541130598572</f>
        <v>541130598572</v>
      </c>
      <c r="D1219" s="7" t="s">
        <v>2993</v>
      </c>
      <c r="E1219" s="14" t="s">
        <v>24</v>
      </c>
      <c r="F1219" s="14" t="s">
        <v>21</v>
      </c>
      <c r="G1219" s="28" t="s">
        <v>25</v>
      </c>
      <c r="H1219" s="12" t="s">
        <v>745</v>
      </c>
      <c r="I1219" s="7" t="s">
        <v>2994</v>
      </c>
      <c r="K1219" s="14" t="s">
        <v>578</v>
      </c>
      <c r="L1219" s="7" t="s">
        <v>584</v>
      </c>
      <c r="M1219" s="7" t="s">
        <v>624</v>
      </c>
      <c r="N1219" s="7" t="s">
        <v>581</v>
      </c>
    </row>
    <row r="1220">
      <c r="A1220" s="4">
        <v>46071.0</v>
      </c>
      <c r="B1220" s="7" t="s">
        <v>2995</v>
      </c>
      <c r="C1220" s="21">
        <f>+541159757104</f>
        <v>541159757104</v>
      </c>
      <c r="D1220" s="7" t="s">
        <v>2996</v>
      </c>
      <c r="E1220" s="14" t="s">
        <v>16</v>
      </c>
      <c r="F1220" s="14" t="s">
        <v>21</v>
      </c>
      <c r="G1220" s="14" t="s">
        <v>18</v>
      </c>
      <c r="H1220" s="12" t="s">
        <v>717</v>
      </c>
      <c r="I1220" s="7" t="s">
        <v>2997</v>
      </c>
      <c r="K1220" s="14" t="s">
        <v>578</v>
      </c>
      <c r="L1220" s="7" t="s">
        <v>584</v>
      </c>
      <c r="M1220" s="7" t="s">
        <v>580</v>
      </c>
      <c r="N1220" s="7" t="s">
        <v>585</v>
      </c>
    </row>
    <row r="1221">
      <c r="A1221" s="4">
        <v>46071.0</v>
      </c>
      <c r="B1221" s="7" t="s">
        <v>2998</v>
      </c>
      <c r="C1221" s="21">
        <f>+543754419446</f>
        <v>543754419446</v>
      </c>
      <c r="D1221" s="7" t="s">
        <v>2999</v>
      </c>
      <c r="E1221" s="7" t="s">
        <v>577</v>
      </c>
      <c r="F1221" s="14" t="s">
        <v>21</v>
      </c>
      <c r="G1221" s="28" t="s">
        <v>25</v>
      </c>
      <c r="H1221" s="12" t="s">
        <v>727</v>
      </c>
      <c r="I1221" s="7" t="s">
        <v>947</v>
      </c>
      <c r="K1221" s="14" t="s">
        <v>578</v>
      </c>
      <c r="L1221" s="7" t="s">
        <v>579</v>
      </c>
      <c r="M1221" s="7" t="s">
        <v>580</v>
      </c>
      <c r="N1221" s="7" t="s">
        <v>581</v>
      </c>
    </row>
    <row r="1222">
      <c r="A1222" s="4">
        <v>46072.0</v>
      </c>
      <c r="B1222" s="7" t="s">
        <v>3000</v>
      </c>
      <c r="C1222" s="21">
        <f>+5491166853113</f>
        <v>5491166853113</v>
      </c>
      <c r="D1222" s="7" t="s">
        <v>3001</v>
      </c>
      <c r="E1222" s="7" t="s">
        <v>577</v>
      </c>
      <c r="F1222" s="14" t="s">
        <v>21</v>
      </c>
      <c r="G1222" s="14" t="s">
        <v>18</v>
      </c>
      <c r="H1222" s="12" t="s">
        <v>740</v>
      </c>
      <c r="I1222" s="7" t="s">
        <v>734</v>
      </c>
      <c r="K1222" s="14" t="s">
        <v>578</v>
      </c>
      <c r="L1222" s="7" t="s">
        <v>584</v>
      </c>
      <c r="M1222" s="7" t="s">
        <v>580</v>
      </c>
      <c r="N1222" s="7" t="s">
        <v>585</v>
      </c>
    </row>
    <row r="1223">
      <c r="A1223" s="4">
        <v>46072.0</v>
      </c>
      <c r="B1223" s="7" t="s">
        <v>3002</v>
      </c>
      <c r="C1223" s="21">
        <f>+542920584687</f>
        <v>542920584687</v>
      </c>
      <c r="D1223" s="7" t="s">
        <v>3003</v>
      </c>
      <c r="E1223" s="14" t="s">
        <v>16</v>
      </c>
      <c r="F1223" s="14" t="s">
        <v>21</v>
      </c>
      <c r="G1223" s="14" t="s">
        <v>18</v>
      </c>
      <c r="H1223" s="12" t="s">
        <v>745</v>
      </c>
      <c r="I1223" s="7" t="s">
        <v>3004</v>
      </c>
      <c r="K1223" s="14" t="s">
        <v>578</v>
      </c>
      <c r="L1223" s="7" t="s">
        <v>579</v>
      </c>
      <c r="M1223" s="7" t="s">
        <v>580</v>
      </c>
      <c r="N1223" s="7" t="s">
        <v>581</v>
      </c>
    </row>
    <row r="1224">
      <c r="A1224" s="4">
        <v>46072.0</v>
      </c>
      <c r="B1224" s="7" t="s">
        <v>3005</v>
      </c>
      <c r="C1224" s="21">
        <f>+542233005680</f>
        <v>542233005680</v>
      </c>
      <c r="D1224" s="7" t="s">
        <v>3006</v>
      </c>
      <c r="E1224" s="14" t="s">
        <v>16</v>
      </c>
      <c r="F1224" s="14" t="s">
        <v>32</v>
      </c>
      <c r="G1224" s="28" t="s">
        <v>25</v>
      </c>
      <c r="H1224" s="12" t="s">
        <v>717</v>
      </c>
      <c r="I1224" s="7" t="s">
        <v>3007</v>
      </c>
      <c r="K1224" s="14" t="s">
        <v>578</v>
      </c>
      <c r="L1224" s="7" t="s">
        <v>579</v>
      </c>
      <c r="M1224" s="7" t="s">
        <v>580</v>
      </c>
      <c r="N1224" s="7" t="s">
        <v>585</v>
      </c>
    </row>
    <row r="1225">
      <c r="A1225" s="4">
        <v>46072.0</v>
      </c>
      <c r="B1225" s="7" t="s">
        <v>3008</v>
      </c>
      <c r="C1225" s="21">
        <f>+542245518115</f>
        <v>542245518115</v>
      </c>
      <c r="D1225" s="7" t="s">
        <v>3009</v>
      </c>
      <c r="E1225" s="7" t="s">
        <v>577</v>
      </c>
      <c r="F1225" s="14" t="s">
        <v>21</v>
      </c>
      <c r="G1225" s="14" t="s">
        <v>18</v>
      </c>
      <c r="H1225" s="12" t="s">
        <v>717</v>
      </c>
      <c r="I1225" s="7" t="s">
        <v>885</v>
      </c>
      <c r="K1225" s="14" t="s">
        <v>578</v>
      </c>
      <c r="L1225" s="7" t="s">
        <v>579</v>
      </c>
      <c r="M1225" s="7" t="s">
        <v>580</v>
      </c>
      <c r="N1225" s="7" t="s">
        <v>581</v>
      </c>
    </row>
    <row r="1226">
      <c r="A1226" s="4">
        <v>46072.0</v>
      </c>
      <c r="B1226" s="7" t="s">
        <v>3010</v>
      </c>
      <c r="C1226" s="21">
        <f>+542916494368</f>
        <v>542916494368</v>
      </c>
      <c r="D1226" s="7" t="s">
        <v>3011</v>
      </c>
      <c r="E1226" s="14" t="s">
        <v>24</v>
      </c>
      <c r="F1226" s="14" t="s">
        <v>21</v>
      </c>
      <c r="G1226" s="28" t="s">
        <v>25</v>
      </c>
      <c r="H1226" s="12" t="s">
        <v>717</v>
      </c>
      <c r="I1226" s="7" t="s">
        <v>1088</v>
      </c>
      <c r="K1226" s="14" t="s">
        <v>578</v>
      </c>
      <c r="L1226" s="7" t="s">
        <v>579</v>
      </c>
      <c r="M1226" s="7" t="s">
        <v>580</v>
      </c>
      <c r="N1226" s="7" t="s">
        <v>585</v>
      </c>
    </row>
    <row r="1227">
      <c r="A1227" s="4">
        <v>46072.0</v>
      </c>
      <c r="B1227" s="7" t="s">
        <v>3012</v>
      </c>
      <c r="C1227" s="21">
        <f>+543725441716</f>
        <v>543725441716</v>
      </c>
      <c r="D1227" s="7" t="s">
        <v>3013</v>
      </c>
      <c r="E1227" s="7" t="s">
        <v>577</v>
      </c>
      <c r="F1227" s="14" t="s">
        <v>21</v>
      </c>
      <c r="G1227" s="14" t="s">
        <v>18</v>
      </c>
      <c r="H1227" s="12" t="s">
        <v>717</v>
      </c>
      <c r="I1227" s="7" t="s">
        <v>3014</v>
      </c>
      <c r="K1227" s="14" t="s">
        <v>578</v>
      </c>
      <c r="L1227" s="7" t="s">
        <v>579</v>
      </c>
      <c r="M1227" s="7" t="s">
        <v>580</v>
      </c>
      <c r="N1227" s="7" t="s">
        <v>585</v>
      </c>
    </row>
    <row r="1228">
      <c r="A1228" s="4">
        <v>46072.0</v>
      </c>
      <c r="B1228" s="7" t="s">
        <v>3015</v>
      </c>
      <c r="C1228" s="21">
        <f>+5492317528215</f>
        <v>5492317528215</v>
      </c>
      <c r="D1228" s="7" t="s">
        <v>3016</v>
      </c>
      <c r="E1228" s="14" t="s">
        <v>16</v>
      </c>
      <c r="F1228" s="14" t="s">
        <v>21</v>
      </c>
      <c r="G1228" s="14" t="s">
        <v>18</v>
      </c>
      <c r="H1228" s="12" t="s">
        <v>717</v>
      </c>
      <c r="I1228" s="7" t="s">
        <v>3017</v>
      </c>
      <c r="K1228" s="14" t="s">
        <v>578</v>
      </c>
      <c r="L1228" s="7" t="s">
        <v>579</v>
      </c>
      <c r="M1228" s="7" t="s">
        <v>1055</v>
      </c>
      <c r="N1228" s="7" t="s">
        <v>585</v>
      </c>
    </row>
    <row r="1229">
      <c r="A1229" s="4">
        <v>46072.0</v>
      </c>
      <c r="B1229" s="7" t="s">
        <v>3018</v>
      </c>
      <c r="C1229" s="21">
        <f>+543517715936</f>
        <v>543517715936</v>
      </c>
      <c r="D1229" s="7" t="s">
        <v>3019</v>
      </c>
      <c r="E1229" s="14" t="s">
        <v>16</v>
      </c>
      <c r="F1229" s="14" t="s">
        <v>21</v>
      </c>
      <c r="G1229" s="28" t="s">
        <v>25</v>
      </c>
      <c r="H1229" s="12" t="s">
        <v>740</v>
      </c>
      <c r="I1229" s="7" t="s">
        <v>3020</v>
      </c>
      <c r="K1229" s="14" t="s">
        <v>578</v>
      </c>
      <c r="L1229" s="7" t="s">
        <v>579</v>
      </c>
      <c r="M1229" s="7" t="s">
        <v>1055</v>
      </c>
      <c r="N1229" s="7" t="s">
        <v>581</v>
      </c>
    </row>
    <row r="1230">
      <c r="A1230" s="4">
        <v>46073.0</v>
      </c>
      <c r="B1230" s="7" t="s">
        <v>3021</v>
      </c>
      <c r="C1230" s="21">
        <f>+542614856819</f>
        <v>542614856819</v>
      </c>
      <c r="D1230" s="7" t="s">
        <v>3022</v>
      </c>
      <c r="E1230" s="7" t="s">
        <v>577</v>
      </c>
      <c r="F1230" s="12" t="s">
        <v>17</v>
      </c>
      <c r="G1230" s="28" t="s">
        <v>25</v>
      </c>
      <c r="H1230" s="12" t="s">
        <v>740</v>
      </c>
      <c r="I1230" s="7" t="s">
        <v>3023</v>
      </c>
      <c r="K1230" s="14" t="s">
        <v>578</v>
      </c>
      <c r="L1230" s="7" t="s">
        <v>579</v>
      </c>
      <c r="M1230" s="7" t="s">
        <v>580</v>
      </c>
      <c r="N1230" s="7" t="s">
        <v>585</v>
      </c>
    </row>
    <row r="1231">
      <c r="A1231" s="4">
        <v>46073.0</v>
      </c>
      <c r="B1231" s="7" t="s">
        <v>3024</v>
      </c>
      <c r="C1231" s="21">
        <f>+543885072863</f>
        <v>543885072863</v>
      </c>
      <c r="D1231" s="7" t="s">
        <v>3025</v>
      </c>
      <c r="E1231" s="7" t="s">
        <v>577</v>
      </c>
      <c r="F1231" s="14" t="s">
        <v>21</v>
      </c>
      <c r="G1231" s="28" t="s">
        <v>25</v>
      </c>
      <c r="H1231" s="12" t="s">
        <v>740</v>
      </c>
      <c r="I1231" s="7" t="s">
        <v>3026</v>
      </c>
      <c r="K1231" s="14" t="s">
        <v>578</v>
      </c>
      <c r="L1231" s="7" t="s">
        <v>579</v>
      </c>
      <c r="M1231" s="7" t="s">
        <v>1055</v>
      </c>
      <c r="N1231" s="7" t="s">
        <v>585</v>
      </c>
    </row>
    <row r="1232">
      <c r="A1232" s="4">
        <v>46074.0</v>
      </c>
      <c r="B1232" s="7" t="s">
        <v>3027</v>
      </c>
      <c r="C1232" s="21">
        <f>+543435031564</f>
        <v>543435031564</v>
      </c>
      <c r="D1232" s="7" t="s">
        <v>3028</v>
      </c>
      <c r="E1232" s="14" t="s">
        <v>16</v>
      </c>
      <c r="F1232" s="14" t="s">
        <v>21</v>
      </c>
      <c r="G1232" s="28" t="s">
        <v>25</v>
      </c>
      <c r="H1232" s="12" t="s">
        <v>717</v>
      </c>
      <c r="I1232" s="7" t="s">
        <v>3029</v>
      </c>
      <c r="K1232" s="14" t="s">
        <v>578</v>
      </c>
      <c r="L1232" s="7" t="s">
        <v>579</v>
      </c>
      <c r="M1232" s="7" t="s">
        <v>1055</v>
      </c>
      <c r="N1232" s="7" t="s">
        <v>581</v>
      </c>
    </row>
    <row r="1233">
      <c r="A1233" s="4">
        <v>46074.0</v>
      </c>
      <c r="B1233" s="7" t="s">
        <v>3030</v>
      </c>
      <c r="C1233" s="21">
        <f>+543416047173</f>
        <v>543416047173</v>
      </c>
      <c r="D1233" s="7" t="s">
        <v>3031</v>
      </c>
      <c r="E1233" s="14" t="s">
        <v>16</v>
      </c>
      <c r="F1233" s="14" t="s">
        <v>21</v>
      </c>
      <c r="G1233" s="28" t="s">
        <v>25</v>
      </c>
      <c r="H1233" s="12" t="s">
        <v>717</v>
      </c>
      <c r="I1233" s="7" t="s">
        <v>3032</v>
      </c>
      <c r="K1233" s="14" t="s">
        <v>578</v>
      </c>
      <c r="L1233" s="7" t="s">
        <v>579</v>
      </c>
      <c r="M1233" s="7" t="s">
        <v>580</v>
      </c>
      <c r="N1233" s="7" t="s">
        <v>581</v>
      </c>
    </row>
    <row r="1234">
      <c r="A1234" s="4">
        <v>46075.0</v>
      </c>
      <c r="B1234" s="7" t="s">
        <v>3033</v>
      </c>
      <c r="C1234" s="21">
        <f>+542494249805</f>
        <v>542494249805</v>
      </c>
      <c r="D1234" s="7" t="s">
        <v>3034</v>
      </c>
      <c r="E1234" s="14" t="s">
        <v>24</v>
      </c>
      <c r="F1234" s="12" t="s">
        <v>17</v>
      </c>
      <c r="G1234" s="28" t="s">
        <v>25</v>
      </c>
      <c r="H1234" s="12" t="s">
        <v>717</v>
      </c>
      <c r="I1234" s="7" t="s">
        <v>1088</v>
      </c>
      <c r="K1234" s="14" t="s">
        <v>578</v>
      </c>
      <c r="L1234" s="7" t="s">
        <v>579</v>
      </c>
      <c r="M1234" s="7" t="s">
        <v>610</v>
      </c>
      <c r="N1234" s="7" t="s">
        <v>585</v>
      </c>
    </row>
    <row r="1235">
      <c r="A1235" s="4">
        <v>46075.0</v>
      </c>
      <c r="B1235" s="7" t="s">
        <v>3035</v>
      </c>
      <c r="C1235" s="21">
        <f>+5491165934166</f>
        <v>5491165934166</v>
      </c>
      <c r="D1235" s="7" t="s">
        <v>3036</v>
      </c>
      <c r="E1235" s="14" t="s">
        <v>24</v>
      </c>
      <c r="F1235" s="14" t="s">
        <v>21</v>
      </c>
      <c r="G1235" s="19" t="s">
        <v>1045</v>
      </c>
      <c r="H1235" s="12" t="s">
        <v>717</v>
      </c>
      <c r="I1235" s="7" t="s">
        <v>580</v>
      </c>
      <c r="K1235" s="14" t="s">
        <v>578</v>
      </c>
      <c r="L1235" s="7" t="s">
        <v>584</v>
      </c>
      <c r="M1235" s="7" t="s">
        <v>1055</v>
      </c>
      <c r="N1235" s="7" t="s">
        <v>585</v>
      </c>
    </row>
    <row r="1236">
      <c r="A1236" s="4">
        <v>46075.0</v>
      </c>
      <c r="B1236" s="7" t="s">
        <v>3037</v>
      </c>
      <c r="C1236" s="23">
        <v>1.139002694E9</v>
      </c>
      <c r="D1236" s="7" t="s">
        <v>3038</v>
      </c>
      <c r="E1236" s="14" t="s">
        <v>24</v>
      </c>
      <c r="F1236" s="14" t="s">
        <v>21</v>
      </c>
      <c r="G1236" s="19" t="s">
        <v>1045</v>
      </c>
      <c r="H1236" s="12" t="s">
        <v>717</v>
      </c>
      <c r="I1236" s="7" t="s">
        <v>3039</v>
      </c>
      <c r="K1236" s="14" t="s">
        <v>578</v>
      </c>
      <c r="L1236" s="7" t="s">
        <v>584</v>
      </c>
      <c r="M1236" s="7" t="s">
        <v>1055</v>
      </c>
      <c r="N1236" s="7" t="s">
        <v>585</v>
      </c>
    </row>
    <row r="1237">
      <c r="A1237" s="4">
        <v>46075.0</v>
      </c>
      <c r="B1237" s="7" t="s">
        <v>3040</v>
      </c>
      <c r="C1237" s="21">
        <f>+542804725931</f>
        <v>542804725931</v>
      </c>
      <c r="D1237" s="7" t="s">
        <v>3041</v>
      </c>
      <c r="E1237" s="14" t="s">
        <v>16</v>
      </c>
      <c r="F1237" s="14" t="s">
        <v>21</v>
      </c>
      <c r="G1237" s="28" t="s">
        <v>25</v>
      </c>
      <c r="H1237" s="12" t="s">
        <v>717</v>
      </c>
      <c r="I1237" s="7" t="s">
        <v>3042</v>
      </c>
      <c r="K1237" s="14" t="s">
        <v>578</v>
      </c>
      <c r="L1237" s="7" t="s">
        <v>579</v>
      </c>
      <c r="M1237" s="7" t="s">
        <v>1055</v>
      </c>
      <c r="N1237" s="7" t="s">
        <v>585</v>
      </c>
    </row>
    <row r="1238">
      <c r="A1238" s="4">
        <v>46075.0</v>
      </c>
      <c r="B1238" s="7" t="s">
        <v>3043</v>
      </c>
      <c r="C1238" s="21">
        <f>+542964406481</f>
        <v>542964406481</v>
      </c>
      <c r="D1238" s="7" t="s">
        <v>3044</v>
      </c>
      <c r="E1238" s="7" t="s">
        <v>577</v>
      </c>
      <c r="F1238" s="14" t="s">
        <v>21</v>
      </c>
      <c r="G1238" s="28" t="s">
        <v>25</v>
      </c>
      <c r="H1238" s="12" t="s">
        <v>717</v>
      </c>
      <c r="I1238" s="7" t="s">
        <v>3045</v>
      </c>
      <c r="K1238" s="14" t="s">
        <v>578</v>
      </c>
      <c r="L1238" s="7" t="s">
        <v>579</v>
      </c>
      <c r="M1238" s="7" t="s">
        <v>1055</v>
      </c>
      <c r="N1238" s="7" t="s">
        <v>581</v>
      </c>
    </row>
    <row r="1239">
      <c r="A1239" s="4">
        <v>46075.0</v>
      </c>
      <c r="B1239" s="7" t="s">
        <v>3046</v>
      </c>
      <c r="C1239" s="21">
        <f>+541165936901</f>
        <v>541165936901</v>
      </c>
      <c r="D1239" s="7" t="s">
        <v>3047</v>
      </c>
      <c r="E1239" s="14" t="s">
        <v>24</v>
      </c>
      <c r="F1239" s="14" t="s">
        <v>21</v>
      </c>
      <c r="G1239" s="28" t="s">
        <v>25</v>
      </c>
      <c r="H1239" s="12" t="s">
        <v>717</v>
      </c>
      <c r="I1239" s="7" t="s">
        <v>3048</v>
      </c>
      <c r="K1239" s="14" t="s">
        <v>578</v>
      </c>
      <c r="L1239" s="7" t="s">
        <v>584</v>
      </c>
      <c r="M1239" s="7" t="s">
        <v>580</v>
      </c>
      <c r="N1239" s="7" t="s">
        <v>585</v>
      </c>
    </row>
    <row r="1240">
      <c r="A1240" s="4">
        <v>46075.0</v>
      </c>
      <c r="B1240" s="7" t="s">
        <v>3049</v>
      </c>
      <c r="C1240" s="21">
        <f>+5491158044520</f>
        <v>5491158044520</v>
      </c>
      <c r="D1240" s="7" t="s">
        <v>3050</v>
      </c>
      <c r="E1240" s="14" t="s">
        <v>24</v>
      </c>
      <c r="F1240" s="14" t="s">
        <v>21</v>
      </c>
      <c r="G1240" s="14" t="s">
        <v>18</v>
      </c>
      <c r="H1240" s="12" t="s">
        <v>717</v>
      </c>
      <c r="I1240" s="7" t="s">
        <v>731</v>
      </c>
      <c r="K1240" s="14" t="s">
        <v>578</v>
      </c>
      <c r="L1240" s="7" t="s">
        <v>584</v>
      </c>
      <c r="M1240" s="7" t="s">
        <v>580</v>
      </c>
      <c r="N1240" s="7" t="s">
        <v>585</v>
      </c>
    </row>
    <row r="1241">
      <c r="A1241" s="4">
        <v>46075.0</v>
      </c>
      <c r="B1241" s="7" t="s">
        <v>3051</v>
      </c>
      <c r="C1241" s="21">
        <f>+543416924189</f>
        <v>543416924189</v>
      </c>
      <c r="D1241" s="7" t="s">
        <v>3052</v>
      </c>
      <c r="E1241" s="7" t="s">
        <v>577</v>
      </c>
      <c r="F1241" s="14" t="s">
        <v>21</v>
      </c>
      <c r="G1241" s="19" t="s">
        <v>1045</v>
      </c>
      <c r="H1241" s="12" t="s">
        <v>717</v>
      </c>
      <c r="I1241" s="7" t="s">
        <v>756</v>
      </c>
      <c r="K1241" s="14" t="s">
        <v>578</v>
      </c>
      <c r="L1241" s="7" t="s">
        <v>579</v>
      </c>
      <c r="M1241" s="7" t="s">
        <v>1055</v>
      </c>
      <c r="N1241" s="7" t="s">
        <v>581</v>
      </c>
    </row>
    <row r="1242">
      <c r="A1242" s="4">
        <v>46075.0</v>
      </c>
      <c r="B1242" s="7" t="s">
        <v>3053</v>
      </c>
      <c r="C1242" s="21">
        <f>+543412519924</f>
        <v>543412519924</v>
      </c>
      <c r="D1242" s="7" t="s">
        <v>3054</v>
      </c>
      <c r="E1242" s="14" t="s">
        <v>24</v>
      </c>
      <c r="F1242" s="14" t="s">
        <v>21</v>
      </c>
      <c r="G1242" s="28" t="s">
        <v>25</v>
      </c>
      <c r="H1242" s="12" t="s">
        <v>717</v>
      </c>
      <c r="I1242" s="7" t="s">
        <v>2490</v>
      </c>
      <c r="K1242" s="14" t="s">
        <v>578</v>
      </c>
      <c r="L1242" s="7" t="s">
        <v>579</v>
      </c>
      <c r="M1242" s="7" t="s">
        <v>1055</v>
      </c>
      <c r="N1242" s="7" t="s">
        <v>581</v>
      </c>
    </row>
    <row r="1243">
      <c r="A1243" s="4">
        <v>46075.0</v>
      </c>
      <c r="B1243" s="7" t="s">
        <v>3055</v>
      </c>
      <c r="C1243" s="21">
        <f>+5491155859967</f>
        <v>5491155859967</v>
      </c>
      <c r="D1243" s="7" t="s">
        <v>3056</v>
      </c>
      <c r="E1243" s="14" t="s">
        <v>16</v>
      </c>
      <c r="F1243" s="14" t="s">
        <v>21</v>
      </c>
      <c r="G1243" s="14" t="s">
        <v>18</v>
      </c>
      <c r="H1243" s="12" t="s">
        <v>727</v>
      </c>
      <c r="I1243" s="7" t="s">
        <v>734</v>
      </c>
      <c r="K1243" s="14" t="s">
        <v>578</v>
      </c>
      <c r="L1243" s="7" t="s">
        <v>584</v>
      </c>
      <c r="M1243" s="7" t="s">
        <v>580</v>
      </c>
      <c r="N1243" s="7" t="s">
        <v>585</v>
      </c>
    </row>
    <row r="1244">
      <c r="C1244" s="8"/>
      <c r="D1244" s="30"/>
    </row>
    <row r="1245">
      <c r="C1245" s="8"/>
    </row>
    <row r="1246">
      <c r="C1246" s="8"/>
    </row>
    <row r="1247">
      <c r="C1247" s="8"/>
    </row>
    <row r="1248">
      <c r="C1248" s="8"/>
    </row>
    <row r="1249">
      <c r="C1249" s="8"/>
    </row>
    <row r="1250">
      <c r="C1250" s="8"/>
    </row>
    <row r="1251">
      <c r="C1251" s="8"/>
    </row>
    <row r="1252">
      <c r="C1252" s="8"/>
    </row>
    <row r="1253">
      <c r="C1253" s="8"/>
    </row>
    <row r="1254">
      <c r="C1254" s="8"/>
    </row>
    <row r="1255">
      <c r="C1255" s="8"/>
    </row>
    <row r="1256">
      <c r="C1256" s="8"/>
    </row>
    <row r="1257">
      <c r="C1257" s="8"/>
    </row>
    <row r="1258">
      <c r="C1258" s="8"/>
    </row>
    <row r="1259">
      <c r="C1259" s="8"/>
    </row>
    <row r="1260">
      <c r="C1260" s="8"/>
    </row>
    <row r="1261">
      <c r="C1261" s="8"/>
    </row>
    <row r="1262">
      <c r="C1262" s="8"/>
    </row>
    <row r="1263">
      <c r="C1263" s="8"/>
    </row>
    <row r="1264">
      <c r="C1264" s="8"/>
    </row>
    <row r="1265">
      <c r="C1265" s="8"/>
    </row>
    <row r="1266">
      <c r="C1266" s="8"/>
    </row>
    <row r="1267">
      <c r="C1267" s="8"/>
    </row>
    <row r="1268">
      <c r="C1268" s="8"/>
    </row>
    <row r="1269">
      <c r="C1269" s="8"/>
    </row>
    <row r="1270">
      <c r="C1270" s="8"/>
    </row>
    <row r="1271">
      <c r="C1271" s="8"/>
    </row>
    <row r="1272">
      <c r="C1272" s="8"/>
    </row>
    <row r="1273">
      <c r="C1273" s="8"/>
    </row>
    <row r="1274">
      <c r="C1274" s="8"/>
    </row>
    <row r="1275">
      <c r="C1275" s="8"/>
    </row>
    <row r="1276">
      <c r="C1276" s="8"/>
    </row>
    <row r="1277">
      <c r="C1277" s="8"/>
    </row>
    <row r="1278">
      <c r="C1278" s="8"/>
    </row>
    <row r="1279">
      <c r="C1279" s="8"/>
    </row>
    <row r="1280">
      <c r="C1280" s="8"/>
    </row>
    <row r="1281">
      <c r="C1281" s="8"/>
    </row>
    <row r="1282">
      <c r="C1282" s="8"/>
    </row>
    <row r="1283">
      <c r="C1283" s="8"/>
    </row>
    <row r="1284">
      <c r="C1284" s="8"/>
    </row>
    <row r="1285">
      <c r="C1285" s="8"/>
    </row>
    <row r="1286">
      <c r="C1286" s="8"/>
    </row>
    <row r="1287">
      <c r="C1287" s="8"/>
    </row>
    <row r="1288">
      <c r="C1288" s="8"/>
    </row>
    <row r="1289">
      <c r="C1289" s="8"/>
    </row>
    <row r="1290">
      <c r="C1290" s="8"/>
    </row>
    <row r="1291">
      <c r="C1291" s="8"/>
    </row>
    <row r="1292">
      <c r="C1292" s="8"/>
    </row>
    <row r="1293">
      <c r="C1293" s="8"/>
    </row>
    <row r="1294">
      <c r="C1294" s="8"/>
    </row>
    <row r="1295">
      <c r="C1295" s="8"/>
    </row>
    <row r="1296">
      <c r="C1296" s="8"/>
    </row>
    <row r="1297">
      <c r="C1297" s="8"/>
    </row>
    <row r="1298">
      <c r="C1298" s="8"/>
    </row>
    <row r="1299">
      <c r="C1299" s="8"/>
    </row>
    <row r="1300">
      <c r="C1300" s="8"/>
    </row>
    <row r="1301">
      <c r="C1301" s="8"/>
    </row>
    <row r="1302">
      <c r="C1302" s="8"/>
    </row>
    <row r="1303">
      <c r="C1303" s="8"/>
    </row>
    <row r="1304">
      <c r="C1304" s="8"/>
    </row>
    <row r="1305">
      <c r="C1305" s="8"/>
    </row>
    <row r="1306">
      <c r="C1306" s="8"/>
    </row>
    <row r="1307">
      <c r="C1307" s="8"/>
    </row>
    <row r="1308">
      <c r="C1308" s="8"/>
    </row>
    <row r="1309">
      <c r="C1309" s="8"/>
    </row>
    <row r="1310">
      <c r="C1310" s="8"/>
    </row>
    <row r="1311">
      <c r="C1311" s="8"/>
    </row>
    <row r="1312">
      <c r="C1312" s="8"/>
    </row>
    <row r="1313">
      <c r="C1313" s="8"/>
    </row>
    <row r="1314">
      <c r="C1314" s="8"/>
    </row>
    <row r="1315">
      <c r="C1315" s="8"/>
    </row>
    <row r="1316">
      <c r="C1316" s="8"/>
    </row>
    <row r="1317">
      <c r="C1317" s="8"/>
    </row>
    <row r="1318">
      <c r="C1318" s="8"/>
    </row>
    <row r="1319">
      <c r="C1319" s="8"/>
    </row>
    <row r="1320">
      <c r="C1320" s="8"/>
    </row>
    <row r="1321">
      <c r="C1321" s="8"/>
    </row>
    <row r="1322">
      <c r="C1322" s="8"/>
    </row>
    <row r="1323">
      <c r="C1323" s="8"/>
    </row>
    <row r="1324">
      <c r="C1324" s="8"/>
    </row>
    <row r="1325">
      <c r="C1325" s="8"/>
    </row>
    <row r="1326">
      <c r="C1326" s="8"/>
    </row>
    <row r="1327">
      <c r="C1327" s="8"/>
    </row>
    <row r="1328">
      <c r="C1328" s="8"/>
    </row>
    <row r="1329">
      <c r="C1329" s="8"/>
    </row>
    <row r="1330">
      <c r="C1330" s="8"/>
    </row>
    <row r="1331">
      <c r="C1331" s="8"/>
    </row>
    <row r="1332">
      <c r="C1332" s="8"/>
    </row>
    <row r="1333">
      <c r="C1333" s="8"/>
    </row>
    <row r="1334">
      <c r="C1334" s="8"/>
    </row>
    <row r="1335">
      <c r="C1335" s="8"/>
    </row>
    <row r="1336">
      <c r="C1336" s="8"/>
    </row>
    <row r="1337">
      <c r="C1337" s="8"/>
    </row>
    <row r="1338">
      <c r="C1338" s="8"/>
    </row>
    <row r="1339">
      <c r="C1339" s="8"/>
    </row>
    <row r="1340">
      <c r="C1340" s="8"/>
    </row>
    <row r="1341">
      <c r="C1341" s="8"/>
    </row>
    <row r="1342">
      <c r="C1342" s="8"/>
    </row>
    <row r="1343">
      <c r="C1343" s="8"/>
    </row>
    <row r="1344">
      <c r="C1344" s="8"/>
    </row>
    <row r="1345">
      <c r="C1345" s="8"/>
    </row>
    <row r="1346">
      <c r="C1346" s="8"/>
    </row>
    <row r="1347">
      <c r="C1347" s="8"/>
    </row>
    <row r="1348">
      <c r="C1348" s="8"/>
    </row>
    <row r="1349">
      <c r="C1349" s="8"/>
    </row>
    <row r="1350">
      <c r="C1350" s="8"/>
    </row>
    <row r="1351">
      <c r="C1351" s="8"/>
    </row>
    <row r="1352">
      <c r="C1352" s="8"/>
    </row>
    <row r="1353">
      <c r="C1353" s="8"/>
    </row>
    <row r="1354">
      <c r="C1354" s="8"/>
    </row>
    <row r="1355">
      <c r="C1355" s="8"/>
    </row>
    <row r="1356">
      <c r="C1356" s="8"/>
    </row>
    <row r="1357">
      <c r="C1357" s="8"/>
    </row>
    <row r="1358">
      <c r="C1358" s="8"/>
    </row>
    <row r="1359">
      <c r="C1359" s="8"/>
    </row>
    <row r="1360">
      <c r="C1360" s="8"/>
    </row>
    <row r="1361">
      <c r="C1361" s="8"/>
    </row>
    <row r="1362">
      <c r="C1362" s="8"/>
    </row>
    <row r="1363">
      <c r="C1363" s="8"/>
    </row>
    <row r="1364">
      <c r="C1364" s="8"/>
    </row>
    <row r="1365">
      <c r="C1365" s="8"/>
    </row>
    <row r="1366">
      <c r="C1366" s="8"/>
    </row>
    <row r="1367">
      <c r="C1367" s="8"/>
    </row>
    <row r="1368">
      <c r="C1368" s="8"/>
    </row>
    <row r="1369">
      <c r="C1369" s="8"/>
    </row>
    <row r="1370">
      <c r="C1370" s="8"/>
    </row>
    <row r="1371">
      <c r="C1371" s="8"/>
    </row>
    <row r="1372">
      <c r="C1372" s="8"/>
    </row>
    <row r="1373">
      <c r="C1373" s="8"/>
    </row>
    <row r="1374">
      <c r="C1374" s="8"/>
    </row>
    <row r="1375">
      <c r="C1375" s="8"/>
    </row>
    <row r="1376">
      <c r="C1376" s="8"/>
    </row>
    <row r="1377">
      <c r="C1377" s="8"/>
    </row>
    <row r="1378">
      <c r="C1378" s="8"/>
    </row>
    <row r="1379">
      <c r="C1379" s="8"/>
    </row>
    <row r="1380">
      <c r="C1380" s="8"/>
    </row>
    <row r="1381">
      <c r="C1381" s="8"/>
    </row>
    <row r="1382">
      <c r="C1382" s="8"/>
    </row>
    <row r="1383">
      <c r="C1383" s="8"/>
    </row>
    <row r="1384">
      <c r="C1384" s="8"/>
    </row>
    <row r="1385">
      <c r="C1385" s="8"/>
    </row>
    <row r="1386">
      <c r="C1386" s="8"/>
    </row>
    <row r="1387">
      <c r="C1387" s="8"/>
    </row>
    <row r="1388">
      <c r="C1388" s="8"/>
    </row>
    <row r="1389">
      <c r="C1389" s="8"/>
    </row>
    <row r="1390">
      <c r="C1390" s="8"/>
    </row>
    <row r="1391">
      <c r="C1391" s="8"/>
    </row>
    <row r="1392">
      <c r="C1392" s="8"/>
    </row>
    <row r="1393">
      <c r="C1393" s="8"/>
    </row>
    <row r="1394">
      <c r="C1394" s="8"/>
    </row>
    <row r="1395">
      <c r="C1395" s="8"/>
    </row>
    <row r="1396">
      <c r="C1396" s="8"/>
    </row>
    <row r="1397">
      <c r="C1397" s="8"/>
    </row>
    <row r="1398">
      <c r="C1398" s="8"/>
    </row>
    <row r="1399">
      <c r="C1399" s="8"/>
    </row>
    <row r="1400">
      <c r="C1400" s="8"/>
    </row>
    <row r="1401">
      <c r="C1401" s="8"/>
    </row>
    <row r="1402">
      <c r="C1402" s="8"/>
    </row>
    <row r="1403">
      <c r="C1403" s="8"/>
    </row>
    <row r="1404">
      <c r="C1404" s="8"/>
    </row>
    <row r="1405">
      <c r="C1405" s="8"/>
    </row>
    <row r="1406">
      <c r="C1406" s="8"/>
    </row>
    <row r="1407">
      <c r="C1407" s="8"/>
    </row>
    <row r="1408">
      <c r="C1408" s="8"/>
    </row>
    <row r="1409">
      <c r="C1409" s="8"/>
    </row>
    <row r="1410">
      <c r="C1410" s="8"/>
    </row>
    <row r="1411">
      <c r="C1411" s="8"/>
    </row>
    <row r="1412">
      <c r="C1412" s="8"/>
    </row>
    <row r="1413">
      <c r="C1413" s="8"/>
    </row>
    <row r="1414">
      <c r="C1414" s="8"/>
    </row>
    <row r="1415">
      <c r="C1415" s="8"/>
    </row>
    <row r="1416">
      <c r="C1416" s="8"/>
    </row>
    <row r="1417">
      <c r="C1417" s="8"/>
    </row>
    <row r="1418">
      <c r="C1418" s="8"/>
    </row>
    <row r="1419">
      <c r="C1419" s="8"/>
    </row>
    <row r="1420">
      <c r="C1420" s="8"/>
    </row>
    <row r="1421">
      <c r="C1421" s="8"/>
    </row>
    <row r="1422">
      <c r="C1422" s="8"/>
    </row>
    <row r="1423">
      <c r="C1423" s="8"/>
    </row>
    <row r="1424">
      <c r="C1424" s="8"/>
    </row>
    <row r="1425">
      <c r="C1425" s="8"/>
    </row>
    <row r="1426">
      <c r="C1426" s="8"/>
    </row>
    <row r="1427">
      <c r="C1427" s="8"/>
    </row>
    <row r="1428">
      <c r="C1428" s="8"/>
    </row>
    <row r="1429">
      <c r="C1429" s="8"/>
    </row>
    <row r="1430">
      <c r="C1430" s="8"/>
    </row>
    <row r="1431">
      <c r="C1431" s="8"/>
    </row>
    <row r="1432">
      <c r="C1432" s="8"/>
    </row>
    <row r="1433">
      <c r="C1433" s="8"/>
    </row>
    <row r="1434">
      <c r="C1434" s="8"/>
    </row>
    <row r="1435">
      <c r="C1435" s="8"/>
    </row>
    <row r="1436">
      <c r="C1436" s="8"/>
    </row>
    <row r="1437">
      <c r="C1437" s="8"/>
    </row>
    <row r="1438">
      <c r="C1438" s="8"/>
    </row>
    <row r="1439">
      <c r="C1439" s="8"/>
    </row>
    <row r="1440">
      <c r="C1440" s="8"/>
    </row>
    <row r="1441">
      <c r="C1441" s="8"/>
    </row>
    <row r="1442">
      <c r="C1442" s="8"/>
    </row>
    <row r="1443">
      <c r="C1443" s="8"/>
    </row>
    <row r="1444">
      <c r="C1444" s="8"/>
    </row>
    <row r="1445">
      <c r="C1445" s="8"/>
    </row>
    <row r="1446">
      <c r="C1446" s="8"/>
    </row>
    <row r="1447">
      <c r="C1447" s="8"/>
    </row>
    <row r="1448">
      <c r="C1448" s="8"/>
    </row>
    <row r="1449">
      <c r="C1449" s="8"/>
    </row>
    <row r="1450">
      <c r="C1450" s="8"/>
    </row>
    <row r="1451">
      <c r="C1451" s="8"/>
    </row>
    <row r="1452">
      <c r="C1452" s="8"/>
    </row>
    <row r="1453">
      <c r="C1453" s="8"/>
    </row>
    <row r="1454">
      <c r="C1454" s="8"/>
    </row>
    <row r="1455">
      <c r="C1455" s="8"/>
    </row>
    <row r="1456">
      <c r="C1456" s="8"/>
    </row>
    <row r="1457">
      <c r="C1457" s="8"/>
    </row>
    <row r="1458">
      <c r="C1458" s="8"/>
    </row>
    <row r="1459">
      <c r="C1459" s="8"/>
    </row>
    <row r="1460">
      <c r="C1460" s="8"/>
    </row>
    <row r="1461">
      <c r="C1461" s="8"/>
    </row>
    <row r="1462">
      <c r="C1462" s="8"/>
    </row>
    <row r="1463">
      <c r="C1463" s="8"/>
    </row>
    <row r="1464">
      <c r="C1464" s="8"/>
    </row>
    <row r="1465">
      <c r="C1465" s="8"/>
    </row>
    <row r="1466">
      <c r="C1466" s="8"/>
    </row>
    <row r="1467">
      <c r="C1467" s="8"/>
    </row>
    <row r="1468">
      <c r="C1468" s="8"/>
    </row>
    <row r="1469">
      <c r="C1469" s="8"/>
    </row>
    <row r="1470">
      <c r="C1470" s="8"/>
    </row>
    <row r="1471">
      <c r="C1471" s="8"/>
    </row>
    <row r="1472">
      <c r="C1472" s="8"/>
    </row>
    <row r="1473">
      <c r="C1473" s="8"/>
    </row>
    <row r="1474">
      <c r="C1474" s="8"/>
    </row>
    <row r="1475">
      <c r="C1475" s="8"/>
    </row>
    <row r="1476">
      <c r="C1476" s="8"/>
    </row>
    <row r="1477">
      <c r="C1477" s="8"/>
    </row>
    <row r="1478">
      <c r="C1478" s="8"/>
    </row>
    <row r="1479">
      <c r="C1479" s="8"/>
    </row>
    <row r="1480">
      <c r="C1480" s="8"/>
    </row>
    <row r="1481">
      <c r="C1481" s="8"/>
    </row>
    <row r="1482">
      <c r="C1482" s="8"/>
    </row>
    <row r="1483">
      <c r="C1483" s="8"/>
    </row>
    <row r="1484">
      <c r="C1484" s="8"/>
    </row>
    <row r="1485">
      <c r="C1485" s="8"/>
    </row>
    <row r="1486">
      <c r="C1486" s="8"/>
    </row>
    <row r="1487">
      <c r="C1487" s="8"/>
    </row>
    <row r="1488">
      <c r="C1488" s="8"/>
    </row>
    <row r="1489">
      <c r="C1489" s="8"/>
    </row>
    <row r="1490">
      <c r="C1490" s="8"/>
    </row>
    <row r="1491">
      <c r="C1491" s="8"/>
    </row>
    <row r="1492">
      <c r="C1492" s="8"/>
    </row>
    <row r="1493">
      <c r="C1493" s="8"/>
    </row>
    <row r="1494">
      <c r="C1494" s="8"/>
    </row>
    <row r="1495">
      <c r="C1495" s="8"/>
    </row>
    <row r="1496">
      <c r="C1496" s="8"/>
    </row>
    <row r="1497">
      <c r="C1497" s="8"/>
    </row>
    <row r="1498">
      <c r="C1498" s="8"/>
    </row>
    <row r="1499">
      <c r="C1499" s="8"/>
    </row>
    <row r="1500">
      <c r="C1500" s="8"/>
    </row>
    <row r="1501">
      <c r="C1501" s="8"/>
    </row>
    <row r="1502">
      <c r="C1502" s="8"/>
    </row>
    <row r="1503">
      <c r="C1503" s="8"/>
    </row>
    <row r="1504">
      <c r="C1504" s="8"/>
    </row>
    <row r="1505">
      <c r="C1505" s="8"/>
    </row>
    <row r="1506">
      <c r="C1506" s="8"/>
    </row>
    <row r="1507">
      <c r="C1507" s="8"/>
    </row>
    <row r="1508">
      <c r="C1508" s="8"/>
    </row>
    <row r="1509">
      <c r="C1509" s="8"/>
    </row>
    <row r="1510">
      <c r="C1510" s="8"/>
    </row>
    <row r="1511">
      <c r="C1511" s="8"/>
    </row>
    <row r="1512">
      <c r="C1512" s="8"/>
    </row>
    <row r="1513">
      <c r="C1513" s="8"/>
    </row>
    <row r="1514">
      <c r="C1514" s="8"/>
    </row>
    <row r="1515">
      <c r="C1515" s="8"/>
    </row>
    <row r="1516">
      <c r="C1516" s="8"/>
    </row>
    <row r="1517">
      <c r="C1517" s="8"/>
    </row>
    <row r="1518">
      <c r="C1518" s="8"/>
    </row>
    <row r="1519">
      <c r="C1519" s="8"/>
    </row>
    <row r="1520">
      <c r="C1520" s="8"/>
    </row>
    <row r="1521">
      <c r="C1521" s="8"/>
    </row>
    <row r="1522">
      <c r="C1522" s="8"/>
    </row>
    <row r="1523">
      <c r="C1523" s="8"/>
    </row>
    <row r="1524">
      <c r="C1524" s="8"/>
    </row>
    <row r="1525">
      <c r="C1525" s="8"/>
    </row>
    <row r="1526">
      <c r="C1526" s="8"/>
    </row>
    <row r="1527">
      <c r="C1527" s="8"/>
    </row>
    <row r="1528">
      <c r="C1528" s="8"/>
    </row>
    <row r="1529">
      <c r="C1529" s="8"/>
    </row>
    <row r="1530">
      <c r="C1530" s="8"/>
    </row>
    <row r="1531">
      <c r="C1531" s="8"/>
    </row>
    <row r="1532">
      <c r="C1532" s="8"/>
    </row>
    <row r="1533">
      <c r="C1533" s="8"/>
    </row>
    <row r="1534">
      <c r="C1534" s="8"/>
    </row>
    <row r="1535">
      <c r="C1535" s="8"/>
    </row>
    <row r="1536">
      <c r="C1536" s="8"/>
    </row>
    <row r="1537">
      <c r="C1537" s="8"/>
    </row>
    <row r="1538">
      <c r="C1538" s="8"/>
    </row>
    <row r="1539">
      <c r="C1539" s="8"/>
    </row>
    <row r="1540">
      <c r="C1540" s="8"/>
    </row>
    <row r="1541">
      <c r="C1541" s="8"/>
    </row>
    <row r="1542">
      <c r="C1542" s="8"/>
    </row>
    <row r="1543">
      <c r="C1543" s="8"/>
    </row>
    <row r="1544">
      <c r="C1544" s="8"/>
    </row>
    <row r="1545">
      <c r="C1545" s="8"/>
    </row>
    <row r="1546">
      <c r="C1546" s="8"/>
    </row>
    <row r="1547">
      <c r="C1547" s="8"/>
    </row>
    <row r="1548">
      <c r="C1548" s="8"/>
    </row>
    <row r="1549">
      <c r="C1549" s="8"/>
    </row>
    <row r="1550">
      <c r="C1550" s="8"/>
    </row>
    <row r="1551">
      <c r="C1551" s="8"/>
    </row>
    <row r="1552">
      <c r="C1552" s="8"/>
    </row>
    <row r="1553">
      <c r="C1553" s="8"/>
    </row>
    <row r="1554">
      <c r="C1554" s="8"/>
    </row>
    <row r="1555">
      <c r="C1555" s="8"/>
    </row>
    <row r="1556">
      <c r="C1556" s="8"/>
    </row>
    <row r="1557">
      <c r="C1557" s="8"/>
    </row>
    <row r="1558">
      <c r="C1558" s="8"/>
    </row>
    <row r="1559">
      <c r="C1559" s="8"/>
    </row>
    <row r="1560">
      <c r="C1560" s="8"/>
    </row>
    <row r="1561">
      <c r="C1561" s="8"/>
    </row>
    <row r="1562">
      <c r="C1562" s="8"/>
    </row>
    <row r="1563">
      <c r="C1563" s="8"/>
    </row>
    <row r="1564">
      <c r="C1564" s="8"/>
    </row>
    <row r="1565">
      <c r="C1565" s="8"/>
    </row>
    <row r="1566">
      <c r="C1566" s="8"/>
    </row>
    <row r="1567">
      <c r="C1567" s="8"/>
    </row>
    <row r="1568">
      <c r="C1568" s="8"/>
    </row>
    <row r="1569">
      <c r="C1569" s="8"/>
    </row>
    <row r="1570">
      <c r="C1570" s="8"/>
    </row>
    <row r="1571">
      <c r="C1571" s="8"/>
    </row>
    <row r="1572">
      <c r="C1572" s="8"/>
    </row>
    <row r="1573">
      <c r="C1573" s="8"/>
    </row>
    <row r="1574">
      <c r="C1574" s="8"/>
    </row>
    <row r="1575">
      <c r="C1575" s="8"/>
    </row>
    <row r="1576">
      <c r="C1576" s="8"/>
    </row>
    <row r="1577">
      <c r="C1577" s="8"/>
    </row>
    <row r="1578">
      <c r="C1578" s="8"/>
    </row>
    <row r="1579">
      <c r="C1579" s="8"/>
    </row>
    <row r="1580">
      <c r="C1580" s="8"/>
    </row>
    <row r="1581">
      <c r="C1581" s="8"/>
    </row>
    <row r="1582">
      <c r="C1582" s="8"/>
    </row>
    <row r="1583">
      <c r="C1583" s="8"/>
    </row>
    <row r="1584">
      <c r="C1584" s="8"/>
    </row>
    <row r="1585">
      <c r="C1585" s="8"/>
    </row>
    <row r="1586">
      <c r="C1586" s="8"/>
    </row>
    <row r="1587">
      <c r="C1587" s="8"/>
    </row>
    <row r="1588">
      <c r="C1588" s="8"/>
    </row>
    <row r="1589">
      <c r="C1589" s="8"/>
    </row>
    <row r="1590">
      <c r="C1590" s="8"/>
    </row>
    <row r="1591">
      <c r="C1591" s="8"/>
    </row>
    <row r="1592">
      <c r="C1592" s="8"/>
    </row>
    <row r="1593">
      <c r="C1593" s="8"/>
    </row>
    <row r="1594">
      <c r="C1594" s="8"/>
    </row>
    <row r="1595">
      <c r="C1595" s="8"/>
    </row>
    <row r="1596">
      <c r="C1596" s="8"/>
    </row>
    <row r="1597">
      <c r="C1597" s="8"/>
    </row>
    <row r="1598">
      <c r="C1598" s="8"/>
    </row>
    <row r="1599">
      <c r="C1599" s="8"/>
    </row>
    <row r="1600">
      <c r="C1600" s="8"/>
    </row>
    <row r="1601">
      <c r="C1601" s="8"/>
    </row>
    <row r="1602">
      <c r="C1602" s="8"/>
    </row>
    <row r="1603">
      <c r="C1603" s="8"/>
    </row>
    <row r="1604">
      <c r="C1604" s="8"/>
    </row>
    <row r="1605">
      <c r="C1605" s="8"/>
    </row>
    <row r="1606">
      <c r="C1606" s="8"/>
    </row>
    <row r="1607">
      <c r="C1607" s="8"/>
    </row>
    <row r="1608">
      <c r="C1608" s="8"/>
    </row>
    <row r="1609">
      <c r="C1609" s="8"/>
    </row>
    <row r="1610">
      <c r="C1610" s="8"/>
    </row>
    <row r="1611">
      <c r="C1611" s="8"/>
    </row>
    <row r="1612">
      <c r="C1612" s="8"/>
    </row>
    <row r="1613">
      <c r="C1613" s="8"/>
    </row>
    <row r="1614">
      <c r="C1614" s="8"/>
    </row>
    <row r="1615">
      <c r="C1615" s="8"/>
    </row>
    <row r="1616">
      <c r="C1616" s="8"/>
    </row>
    <row r="1617">
      <c r="C1617" s="8"/>
    </row>
    <row r="1618">
      <c r="C1618" s="8"/>
    </row>
    <row r="1619">
      <c r="C1619" s="8"/>
    </row>
    <row r="1620">
      <c r="C1620" s="8"/>
    </row>
    <row r="1621">
      <c r="C1621" s="8"/>
    </row>
    <row r="1622">
      <c r="C1622" s="8"/>
    </row>
    <row r="1623">
      <c r="C1623" s="8"/>
    </row>
    <row r="1624">
      <c r="C1624" s="8"/>
    </row>
    <row r="1625">
      <c r="C1625" s="8"/>
    </row>
    <row r="1626">
      <c r="C1626" s="8"/>
    </row>
    <row r="1627">
      <c r="C1627" s="8"/>
    </row>
    <row r="1628">
      <c r="C1628" s="8"/>
    </row>
    <row r="1629">
      <c r="C1629" s="8"/>
    </row>
    <row r="1630">
      <c r="C1630" s="8"/>
    </row>
    <row r="1631">
      <c r="C1631" s="8"/>
    </row>
    <row r="1632">
      <c r="C1632" s="8"/>
    </row>
    <row r="1633">
      <c r="C1633" s="8"/>
    </row>
    <row r="1634">
      <c r="C1634" s="8"/>
    </row>
    <row r="1635">
      <c r="C1635" s="8"/>
    </row>
    <row r="1636">
      <c r="C1636" s="8"/>
    </row>
    <row r="1637">
      <c r="C1637" s="8"/>
    </row>
    <row r="1638">
      <c r="C1638" s="8"/>
    </row>
    <row r="1639">
      <c r="C1639" s="8"/>
    </row>
    <row r="1640">
      <c r="C1640" s="8"/>
    </row>
    <row r="1641">
      <c r="C1641" s="8"/>
    </row>
    <row r="1642">
      <c r="C1642" s="8"/>
    </row>
    <row r="1643">
      <c r="C1643" s="8"/>
    </row>
    <row r="1644">
      <c r="C1644" s="8"/>
    </row>
    <row r="1645">
      <c r="C1645" s="8"/>
    </row>
    <row r="1646">
      <c r="C1646" s="8"/>
    </row>
    <row r="1647">
      <c r="C1647" s="8"/>
    </row>
    <row r="1648">
      <c r="C1648" s="8"/>
    </row>
    <row r="1649">
      <c r="C1649" s="8"/>
    </row>
    <row r="1650">
      <c r="C1650" s="8"/>
    </row>
    <row r="1651">
      <c r="C1651" s="8"/>
    </row>
    <row r="1652">
      <c r="C1652" s="8"/>
    </row>
    <row r="1653">
      <c r="C1653" s="8"/>
    </row>
    <row r="1654">
      <c r="C1654" s="8"/>
    </row>
    <row r="1655">
      <c r="C1655" s="8"/>
    </row>
    <row r="1656">
      <c r="C1656" s="8"/>
    </row>
    <row r="1657">
      <c r="C1657" s="8"/>
    </row>
    <row r="1658">
      <c r="C1658" s="8"/>
    </row>
    <row r="1659">
      <c r="C1659" s="8"/>
    </row>
    <row r="1660">
      <c r="C1660" s="8"/>
    </row>
    <row r="1661">
      <c r="C1661" s="8"/>
    </row>
    <row r="1662">
      <c r="C1662" s="8"/>
    </row>
    <row r="1663">
      <c r="C1663" s="8"/>
    </row>
    <row r="1664">
      <c r="C1664" s="8"/>
    </row>
    <row r="1665">
      <c r="C1665" s="8"/>
    </row>
    <row r="1666">
      <c r="C1666" s="8"/>
    </row>
    <row r="1667">
      <c r="C1667" s="8"/>
    </row>
    <row r="1668">
      <c r="C1668" s="8"/>
    </row>
    <row r="1669">
      <c r="C1669" s="8"/>
    </row>
    <row r="1670">
      <c r="C1670" s="8"/>
    </row>
    <row r="1671">
      <c r="C1671" s="8"/>
    </row>
    <row r="1672">
      <c r="C1672" s="8"/>
    </row>
    <row r="1673">
      <c r="C1673" s="8"/>
    </row>
    <row r="1674">
      <c r="C1674" s="8"/>
    </row>
    <row r="1675">
      <c r="C1675" s="8"/>
    </row>
    <row r="1676">
      <c r="C1676" s="8"/>
    </row>
    <row r="1677">
      <c r="C1677" s="8"/>
    </row>
    <row r="1678">
      <c r="C1678" s="8"/>
    </row>
    <row r="1679">
      <c r="C1679" s="8"/>
    </row>
    <row r="1680">
      <c r="C1680" s="8"/>
    </row>
    <row r="1681">
      <c r="C1681" s="8"/>
    </row>
    <row r="1682">
      <c r="C1682" s="8"/>
    </row>
    <row r="1683">
      <c r="C1683" s="8"/>
    </row>
    <row r="1684">
      <c r="C1684" s="8"/>
    </row>
    <row r="1685">
      <c r="C1685" s="8"/>
    </row>
    <row r="1686">
      <c r="C1686" s="8"/>
    </row>
    <row r="1687">
      <c r="C1687" s="8"/>
    </row>
    <row r="1688">
      <c r="C1688" s="8"/>
    </row>
    <row r="1689">
      <c r="C1689" s="8"/>
    </row>
    <row r="1690">
      <c r="C1690" s="8"/>
    </row>
    <row r="1691">
      <c r="C1691" s="8"/>
    </row>
    <row r="1692">
      <c r="C1692" s="8"/>
    </row>
    <row r="1693">
      <c r="C1693" s="8"/>
    </row>
    <row r="1694">
      <c r="C1694" s="8"/>
    </row>
    <row r="1695">
      <c r="C1695" s="8"/>
    </row>
    <row r="1696">
      <c r="C1696" s="8"/>
    </row>
    <row r="1697">
      <c r="C1697" s="8"/>
    </row>
    <row r="1698">
      <c r="C1698" s="8"/>
    </row>
    <row r="1699">
      <c r="C1699" s="8"/>
    </row>
    <row r="1700">
      <c r="C1700" s="8"/>
    </row>
    <row r="1701">
      <c r="C1701" s="8"/>
    </row>
    <row r="1702">
      <c r="C1702" s="8"/>
    </row>
    <row r="1703">
      <c r="C1703" s="8"/>
    </row>
    <row r="1704">
      <c r="C1704" s="8"/>
    </row>
    <row r="1705">
      <c r="C1705" s="8"/>
    </row>
    <row r="1706">
      <c r="C1706" s="8"/>
    </row>
    <row r="1707">
      <c r="C1707" s="8"/>
    </row>
    <row r="1708">
      <c r="C1708" s="8"/>
    </row>
    <row r="1709">
      <c r="C1709" s="8"/>
    </row>
    <row r="1710">
      <c r="C1710" s="8"/>
    </row>
    <row r="1711">
      <c r="C1711" s="8"/>
    </row>
    <row r="1712">
      <c r="C1712" s="8"/>
    </row>
    <row r="1713">
      <c r="C1713" s="8"/>
    </row>
    <row r="1714">
      <c r="C1714" s="8"/>
    </row>
    <row r="1715">
      <c r="C1715" s="8"/>
    </row>
    <row r="1716">
      <c r="C1716" s="8"/>
    </row>
    <row r="1717">
      <c r="C1717" s="8"/>
    </row>
    <row r="1718">
      <c r="C1718" s="8"/>
    </row>
    <row r="1719">
      <c r="C1719" s="8"/>
    </row>
    <row r="1720">
      <c r="C1720" s="8"/>
    </row>
    <row r="1721">
      <c r="C1721" s="8"/>
    </row>
    <row r="1722">
      <c r="C1722" s="8"/>
    </row>
    <row r="1723">
      <c r="C1723" s="8"/>
    </row>
    <row r="1724">
      <c r="C1724" s="8"/>
    </row>
    <row r="1725">
      <c r="C1725" s="8"/>
    </row>
    <row r="1726">
      <c r="C1726" s="8"/>
    </row>
    <row r="1727">
      <c r="C1727" s="8"/>
    </row>
    <row r="1728">
      <c r="C1728" s="8"/>
    </row>
    <row r="1729">
      <c r="C1729" s="8"/>
    </row>
    <row r="1730">
      <c r="C1730" s="8"/>
    </row>
    <row r="1731">
      <c r="C1731" s="8"/>
    </row>
    <row r="1732">
      <c r="C1732" s="8"/>
    </row>
    <row r="1733">
      <c r="C1733" s="8"/>
    </row>
    <row r="1734">
      <c r="C1734" s="8"/>
    </row>
    <row r="1735">
      <c r="C1735" s="8"/>
    </row>
    <row r="1736">
      <c r="C1736" s="8"/>
    </row>
    <row r="1737">
      <c r="C1737" s="8"/>
    </row>
    <row r="1738">
      <c r="C1738" s="8"/>
    </row>
    <row r="1739">
      <c r="C1739" s="8"/>
    </row>
    <row r="1740">
      <c r="C1740" s="8"/>
    </row>
    <row r="1741">
      <c r="C1741" s="8"/>
    </row>
    <row r="1742">
      <c r="C1742" s="8"/>
    </row>
    <row r="1743">
      <c r="C1743" s="8"/>
    </row>
    <row r="1744">
      <c r="C1744" s="8"/>
    </row>
    <row r="1745">
      <c r="C1745" s="8"/>
    </row>
    <row r="1746">
      <c r="C1746" s="8"/>
    </row>
    <row r="1747">
      <c r="C1747" s="8"/>
    </row>
    <row r="1748">
      <c r="C1748" s="8"/>
    </row>
    <row r="1749">
      <c r="C1749" s="8"/>
    </row>
    <row r="1750">
      <c r="C1750" s="8"/>
    </row>
    <row r="1751">
      <c r="C1751" s="8"/>
    </row>
    <row r="1752">
      <c r="C1752" s="8"/>
    </row>
    <row r="1753">
      <c r="C1753" s="8"/>
    </row>
    <row r="1754">
      <c r="C1754" s="8"/>
    </row>
    <row r="1755">
      <c r="C1755" s="8"/>
    </row>
    <row r="1756">
      <c r="C1756" s="8"/>
    </row>
    <row r="1757">
      <c r="C1757" s="8"/>
    </row>
    <row r="1758">
      <c r="C1758" s="8"/>
    </row>
    <row r="1759">
      <c r="C1759" s="8"/>
    </row>
    <row r="1760">
      <c r="C1760" s="8"/>
    </row>
    <row r="1761">
      <c r="C1761" s="8"/>
    </row>
    <row r="1762">
      <c r="C1762" s="8"/>
    </row>
    <row r="1763">
      <c r="C1763" s="8"/>
    </row>
    <row r="1764">
      <c r="C1764" s="8"/>
    </row>
    <row r="1765">
      <c r="C1765" s="8"/>
    </row>
    <row r="1766">
      <c r="C1766" s="8"/>
    </row>
    <row r="1767">
      <c r="C1767" s="8"/>
    </row>
    <row r="1768">
      <c r="C1768" s="8"/>
    </row>
    <row r="1769">
      <c r="C1769" s="8"/>
    </row>
    <row r="1770">
      <c r="C1770" s="8"/>
    </row>
    <row r="1771">
      <c r="C1771" s="8"/>
    </row>
    <row r="1772">
      <c r="C1772" s="8"/>
    </row>
    <row r="1773">
      <c r="C1773" s="8"/>
    </row>
    <row r="1774">
      <c r="C1774" s="8"/>
    </row>
    <row r="1775">
      <c r="C1775" s="8"/>
    </row>
    <row r="1776">
      <c r="C1776" s="8"/>
    </row>
    <row r="1777">
      <c r="C1777" s="8"/>
    </row>
    <row r="1778">
      <c r="C1778" s="8"/>
    </row>
    <row r="1779">
      <c r="C1779" s="8"/>
    </row>
    <row r="1780">
      <c r="C1780" s="8"/>
    </row>
    <row r="1781">
      <c r="C1781" s="8"/>
    </row>
    <row r="1782">
      <c r="C1782" s="8"/>
    </row>
    <row r="1783">
      <c r="C1783" s="8"/>
    </row>
    <row r="1784">
      <c r="C1784" s="8"/>
    </row>
    <row r="1785">
      <c r="C1785" s="8"/>
    </row>
    <row r="1786">
      <c r="C1786" s="8"/>
    </row>
    <row r="1787">
      <c r="C1787" s="8"/>
    </row>
    <row r="1788">
      <c r="C1788" s="8"/>
    </row>
    <row r="1789">
      <c r="C1789" s="8"/>
    </row>
    <row r="1790">
      <c r="C1790" s="8"/>
    </row>
    <row r="1791">
      <c r="C1791" s="8"/>
    </row>
    <row r="1792">
      <c r="C1792" s="8"/>
    </row>
    <row r="1793">
      <c r="C1793" s="8"/>
    </row>
    <row r="1794">
      <c r="C1794" s="8"/>
    </row>
    <row r="1795">
      <c r="C1795" s="8"/>
    </row>
    <row r="1796">
      <c r="C1796" s="8"/>
    </row>
    <row r="1797">
      <c r="C1797" s="8"/>
    </row>
    <row r="1798">
      <c r="C1798" s="8"/>
    </row>
    <row r="1799">
      <c r="C1799" s="8"/>
    </row>
    <row r="1800">
      <c r="C1800" s="8"/>
    </row>
    <row r="1801">
      <c r="C1801" s="8"/>
    </row>
    <row r="1802">
      <c r="C1802" s="8"/>
    </row>
    <row r="1803">
      <c r="C1803" s="8"/>
    </row>
    <row r="1804">
      <c r="C1804" s="8"/>
    </row>
    <row r="1805">
      <c r="C1805" s="8"/>
    </row>
    <row r="1806">
      <c r="C1806" s="8"/>
    </row>
    <row r="1807">
      <c r="C1807" s="8"/>
    </row>
    <row r="1808">
      <c r="C1808" s="8"/>
    </row>
    <row r="1809">
      <c r="C1809" s="8"/>
    </row>
    <row r="1810">
      <c r="C1810" s="8"/>
    </row>
    <row r="1811">
      <c r="C1811" s="8"/>
    </row>
    <row r="1812">
      <c r="C1812" s="8"/>
    </row>
    <row r="1813">
      <c r="C1813" s="8"/>
    </row>
    <row r="1814">
      <c r="C1814" s="8"/>
    </row>
    <row r="1815">
      <c r="C1815" s="8"/>
    </row>
    <row r="1816">
      <c r="C1816" s="8"/>
    </row>
    <row r="1817">
      <c r="C1817" s="8"/>
    </row>
    <row r="1818">
      <c r="C1818" s="8"/>
    </row>
    <row r="1819">
      <c r="C1819" s="8"/>
    </row>
    <row r="1820">
      <c r="C1820" s="8"/>
    </row>
    <row r="1821">
      <c r="C1821" s="8"/>
    </row>
    <row r="1822">
      <c r="C1822" s="8"/>
    </row>
    <row r="1823">
      <c r="C1823" s="8"/>
    </row>
    <row r="1824">
      <c r="C1824" s="8"/>
    </row>
    <row r="1825">
      <c r="C1825" s="8"/>
    </row>
    <row r="1826">
      <c r="C1826" s="8"/>
    </row>
    <row r="1827">
      <c r="C1827" s="8"/>
    </row>
    <row r="1828">
      <c r="C1828" s="8"/>
    </row>
    <row r="1829">
      <c r="C1829" s="8"/>
    </row>
    <row r="1830">
      <c r="C1830" s="8"/>
    </row>
    <row r="1831">
      <c r="C1831" s="8"/>
    </row>
    <row r="1832">
      <c r="C1832" s="8"/>
    </row>
    <row r="1833">
      <c r="C1833" s="8"/>
    </row>
    <row r="1834">
      <c r="C1834" s="8"/>
    </row>
    <row r="1835">
      <c r="C1835" s="8"/>
    </row>
    <row r="1836">
      <c r="C1836" s="8"/>
    </row>
    <row r="1837">
      <c r="C1837" s="8"/>
    </row>
    <row r="1838">
      <c r="C1838" s="8"/>
    </row>
    <row r="1839">
      <c r="C1839" s="8"/>
    </row>
    <row r="1840">
      <c r="C1840" s="8"/>
    </row>
    <row r="1841">
      <c r="C1841" s="8"/>
    </row>
    <row r="1842">
      <c r="C1842" s="8"/>
    </row>
    <row r="1843">
      <c r="C1843" s="8"/>
    </row>
    <row r="1844">
      <c r="C1844" s="8"/>
    </row>
    <row r="1845">
      <c r="C1845" s="8"/>
    </row>
    <row r="1846">
      <c r="C1846" s="8"/>
    </row>
    <row r="1847">
      <c r="C1847" s="8"/>
    </row>
    <row r="1848">
      <c r="C1848" s="8"/>
    </row>
    <row r="1849">
      <c r="C1849" s="8"/>
    </row>
    <row r="1850">
      <c r="C1850" s="8"/>
    </row>
    <row r="1851">
      <c r="C1851" s="8"/>
    </row>
    <row r="1852">
      <c r="C1852" s="8"/>
    </row>
    <row r="1853">
      <c r="C1853" s="8"/>
    </row>
    <row r="1854">
      <c r="C1854" s="8"/>
    </row>
    <row r="1855">
      <c r="C1855" s="8"/>
    </row>
    <row r="1856">
      <c r="C1856" s="8"/>
    </row>
    <row r="1857">
      <c r="C1857" s="8"/>
    </row>
    <row r="1858">
      <c r="C1858" s="8"/>
    </row>
    <row r="1859">
      <c r="C1859" s="8"/>
    </row>
    <row r="1860">
      <c r="C1860" s="8"/>
    </row>
    <row r="1861">
      <c r="C1861" s="8"/>
    </row>
    <row r="1862">
      <c r="C1862" s="8"/>
    </row>
    <row r="1863">
      <c r="C1863" s="8"/>
    </row>
    <row r="1864">
      <c r="C1864" s="8"/>
    </row>
    <row r="1865">
      <c r="C1865" s="8"/>
    </row>
    <row r="1866">
      <c r="C1866" s="8"/>
    </row>
    <row r="1867">
      <c r="C1867" s="8"/>
    </row>
    <row r="1868">
      <c r="C1868" s="8"/>
    </row>
    <row r="1869">
      <c r="C1869" s="8"/>
    </row>
    <row r="1870">
      <c r="C1870" s="8"/>
    </row>
    <row r="1871">
      <c r="C1871" s="8"/>
    </row>
    <row r="1872">
      <c r="C1872" s="8"/>
    </row>
    <row r="1873">
      <c r="C1873" s="8"/>
    </row>
    <row r="1874">
      <c r="C1874" s="8"/>
    </row>
    <row r="1875">
      <c r="C1875" s="8"/>
    </row>
    <row r="1876">
      <c r="C1876" s="8"/>
    </row>
    <row r="1877">
      <c r="C1877" s="8"/>
    </row>
    <row r="1878">
      <c r="C1878" s="8"/>
    </row>
    <row r="1879">
      <c r="C1879" s="8"/>
    </row>
    <row r="1880">
      <c r="C1880" s="8"/>
    </row>
    <row r="1881">
      <c r="C1881" s="8"/>
    </row>
    <row r="1882">
      <c r="C1882" s="8"/>
    </row>
    <row r="1883">
      <c r="C1883" s="8"/>
    </row>
    <row r="1884">
      <c r="C1884" s="8"/>
    </row>
    <row r="1885">
      <c r="C1885" s="8"/>
    </row>
    <row r="1886">
      <c r="C1886" s="8"/>
    </row>
    <row r="1887">
      <c r="C1887" s="8"/>
    </row>
    <row r="1888">
      <c r="C1888" s="8"/>
    </row>
    <row r="1889">
      <c r="C1889" s="8"/>
    </row>
    <row r="1890">
      <c r="C1890" s="8"/>
    </row>
    <row r="1891">
      <c r="C1891" s="8"/>
    </row>
    <row r="1892">
      <c r="C1892" s="8"/>
    </row>
    <row r="1893">
      <c r="C1893" s="8"/>
    </row>
    <row r="1894">
      <c r="C1894" s="8"/>
    </row>
    <row r="1895">
      <c r="C1895" s="8"/>
    </row>
    <row r="1896">
      <c r="C1896" s="8"/>
    </row>
    <row r="1897">
      <c r="C1897" s="8"/>
    </row>
    <row r="1898">
      <c r="C1898" s="8"/>
    </row>
    <row r="1899">
      <c r="C1899" s="8"/>
    </row>
    <row r="1900">
      <c r="C1900" s="8"/>
    </row>
    <row r="1901">
      <c r="C1901" s="8"/>
    </row>
    <row r="1902">
      <c r="C1902" s="8"/>
    </row>
    <row r="1903">
      <c r="C1903" s="8"/>
    </row>
    <row r="1904">
      <c r="C1904" s="8"/>
    </row>
    <row r="1905">
      <c r="C1905" s="8"/>
    </row>
    <row r="1906">
      <c r="C1906" s="8"/>
    </row>
    <row r="1907">
      <c r="C1907" s="8"/>
    </row>
    <row r="1908">
      <c r="C1908" s="8"/>
    </row>
    <row r="1909">
      <c r="C1909" s="8"/>
    </row>
    <row r="1910">
      <c r="C1910" s="8"/>
    </row>
    <row r="1911">
      <c r="C1911" s="8"/>
    </row>
    <row r="1912">
      <c r="C1912" s="8"/>
    </row>
    <row r="1913">
      <c r="C1913" s="8"/>
    </row>
    <row r="1914">
      <c r="C1914" s="8"/>
    </row>
    <row r="1915">
      <c r="C1915" s="8"/>
    </row>
    <row r="1916">
      <c r="C1916" s="8"/>
    </row>
    <row r="1917">
      <c r="C1917" s="8"/>
    </row>
    <row r="1918">
      <c r="C1918" s="8"/>
    </row>
    <row r="1919">
      <c r="C1919" s="8"/>
    </row>
    <row r="1920">
      <c r="C1920" s="8"/>
    </row>
    <row r="1921">
      <c r="C1921" s="8"/>
    </row>
    <row r="1922">
      <c r="C1922" s="8"/>
    </row>
    <row r="1923">
      <c r="C1923" s="8"/>
    </row>
    <row r="1924">
      <c r="C1924" s="8"/>
    </row>
    <row r="1925">
      <c r="C1925" s="8"/>
    </row>
    <row r="1926">
      <c r="C1926" s="8"/>
    </row>
    <row r="1927">
      <c r="C1927" s="8"/>
    </row>
    <row r="1928">
      <c r="C1928" s="8"/>
    </row>
    <row r="1929">
      <c r="C1929" s="8"/>
    </row>
    <row r="1930">
      <c r="C1930" s="8"/>
    </row>
    <row r="1931">
      <c r="C1931" s="8"/>
    </row>
    <row r="1932">
      <c r="C1932" s="8"/>
    </row>
    <row r="1933">
      <c r="C1933" s="8"/>
    </row>
    <row r="1934">
      <c r="C1934" s="8"/>
    </row>
    <row r="1935">
      <c r="C1935" s="8"/>
    </row>
    <row r="1936">
      <c r="C1936" s="8"/>
    </row>
    <row r="1937">
      <c r="C1937" s="8"/>
    </row>
    <row r="1938">
      <c r="C1938" s="8"/>
    </row>
    <row r="1939">
      <c r="C1939" s="8"/>
    </row>
    <row r="1940">
      <c r="C1940" s="8"/>
    </row>
    <row r="1941">
      <c r="C1941" s="8"/>
    </row>
    <row r="1942">
      <c r="C1942" s="8"/>
    </row>
    <row r="1943">
      <c r="C1943" s="8"/>
    </row>
    <row r="1944">
      <c r="C1944" s="8"/>
    </row>
    <row r="1945">
      <c r="C1945" s="8"/>
    </row>
    <row r="1946">
      <c r="C1946" s="8"/>
    </row>
    <row r="1947">
      <c r="C1947" s="8"/>
    </row>
    <row r="1948">
      <c r="C1948" s="8"/>
    </row>
    <row r="1949">
      <c r="C1949" s="8"/>
    </row>
    <row r="1950">
      <c r="C1950" s="8"/>
    </row>
    <row r="1951">
      <c r="C1951" s="8"/>
    </row>
    <row r="1952">
      <c r="C1952" s="8"/>
    </row>
    <row r="1953">
      <c r="C1953" s="8"/>
    </row>
    <row r="1954">
      <c r="C1954" s="8"/>
    </row>
    <row r="1955">
      <c r="C1955" s="8"/>
    </row>
    <row r="1956">
      <c r="C1956" s="8"/>
    </row>
    <row r="1957">
      <c r="C1957" s="8"/>
    </row>
    <row r="1958">
      <c r="C1958" s="8"/>
    </row>
    <row r="1959">
      <c r="C1959" s="8"/>
    </row>
    <row r="1960">
      <c r="C1960" s="8"/>
    </row>
    <row r="1961">
      <c r="C1961" s="8"/>
    </row>
    <row r="1962">
      <c r="C1962" s="8"/>
    </row>
    <row r="1963">
      <c r="C1963" s="8"/>
    </row>
    <row r="1964">
      <c r="C1964" s="8"/>
    </row>
    <row r="1965">
      <c r="C1965" s="8"/>
    </row>
    <row r="1966">
      <c r="C1966" s="8"/>
    </row>
    <row r="1967">
      <c r="C1967" s="8"/>
    </row>
    <row r="1968">
      <c r="C1968" s="8"/>
    </row>
    <row r="1969">
      <c r="C1969" s="8"/>
    </row>
    <row r="1970">
      <c r="C1970" s="8"/>
    </row>
    <row r="1971">
      <c r="C1971" s="8"/>
    </row>
    <row r="1972">
      <c r="C1972" s="8"/>
    </row>
    <row r="1973">
      <c r="C1973" s="8"/>
    </row>
    <row r="1974">
      <c r="C1974" s="8"/>
    </row>
    <row r="1975">
      <c r="C1975" s="8"/>
    </row>
    <row r="1976">
      <c r="C1976" s="8"/>
    </row>
    <row r="1977">
      <c r="C1977" s="8"/>
    </row>
    <row r="1978">
      <c r="C1978" s="8"/>
    </row>
    <row r="1979">
      <c r="C1979" s="8"/>
    </row>
    <row r="1980">
      <c r="C1980" s="8"/>
    </row>
    <row r="1981">
      <c r="C1981" s="8"/>
    </row>
    <row r="1982">
      <c r="C1982" s="8"/>
    </row>
    <row r="1983">
      <c r="C1983" s="8"/>
    </row>
    <row r="1984">
      <c r="C1984" s="8"/>
    </row>
    <row r="1985">
      <c r="C1985" s="8"/>
    </row>
    <row r="1986">
      <c r="C1986" s="8"/>
    </row>
    <row r="1987">
      <c r="C1987" s="8"/>
    </row>
    <row r="1988">
      <c r="C1988" s="8"/>
    </row>
    <row r="1989">
      <c r="C1989" s="8"/>
    </row>
    <row r="1990">
      <c r="C1990" s="8"/>
    </row>
    <row r="1991">
      <c r="C1991" s="8"/>
    </row>
    <row r="1992">
      <c r="C1992" s="8"/>
    </row>
    <row r="1993">
      <c r="C1993" s="8"/>
    </row>
    <row r="1994">
      <c r="C1994" s="8"/>
    </row>
    <row r="1995">
      <c r="C1995" s="8"/>
    </row>
    <row r="1996">
      <c r="C1996" s="8"/>
    </row>
    <row r="1997">
      <c r="C1997" s="8"/>
    </row>
    <row r="1998">
      <c r="C1998" s="8"/>
    </row>
    <row r="1999">
      <c r="C1999" s="8"/>
    </row>
    <row r="2000">
      <c r="C2000" s="8"/>
    </row>
    <row r="2001">
      <c r="C2001" s="8"/>
    </row>
    <row r="2002">
      <c r="C2002" s="8"/>
    </row>
    <row r="2003">
      <c r="C2003" s="8"/>
    </row>
    <row r="2004">
      <c r="C2004" s="8"/>
    </row>
    <row r="2005">
      <c r="C2005" s="8"/>
    </row>
    <row r="2006">
      <c r="C2006" s="8"/>
    </row>
    <row r="2007">
      <c r="C2007" s="8"/>
    </row>
    <row r="2008">
      <c r="C2008" s="8"/>
    </row>
    <row r="2009">
      <c r="C2009" s="8"/>
    </row>
    <row r="2010">
      <c r="C2010" s="8"/>
    </row>
    <row r="2011">
      <c r="C2011" s="8"/>
    </row>
    <row r="2012">
      <c r="C2012" s="8"/>
    </row>
    <row r="2013">
      <c r="C2013" s="8"/>
    </row>
    <row r="2014">
      <c r="C2014" s="8"/>
    </row>
    <row r="2015">
      <c r="C2015" s="8"/>
    </row>
  </sheetData>
  <hyperlinks>
    <hyperlink r:id="rId4" ref="D757"/>
    <hyperlink r:id="rId5" ref="B770"/>
  </hyperlinks>
  <drawing r:id="rId6"/>
  <legacyDrawing r:id="rId7"/>
</worksheet>
</file>